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208B688D-5840-4713-A528-6D9669281EFE}" xr6:coauthVersionLast="47" xr6:coauthVersionMax="47" xr10:uidLastSave="{00000000-0000-0000-0000-000000000000}"/>
  <bookViews>
    <workbookView minimized="1" xWindow="4290" yWindow="4290" windowWidth="28800" windowHeight="15345" activeTab="1" xr2:uid="{00000000-000D-0000-FFFF-FFFF00000000}"/>
  </bookViews>
  <sheets>
    <sheet name="Arc 1 (existant)" sheetId="1" r:id="rId1"/>
    <sheet name="Arc 2 (à définir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2" l="1"/>
  <c r="B46" i="2"/>
  <c r="B45" i="2"/>
  <c r="B44" i="2"/>
</calcChain>
</file>

<file path=xl/sharedStrings.xml><?xml version="1.0" encoding="utf-8"?>
<sst xmlns="http://schemas.openxmlformats.org/spreadsheetml/2006/main" count="452" uniqueCount="252">
  <si>
    <t>SETS — ARC 1 (état RÉEL du jeu)</t>
  </si>
  <si>
    <t>Relevé fidèle de shared/progression/sets.ts au 21 juil. 2026. Référence en LECTURE : c'est ce qui tourne en production, ne pas modifier.</t>
  </si>
  <si>
    <t>ID</t>
  </si>
  <si>
    <t>Nom</t>
  </si>
  <si>
    <t>Thème / rôle</t>
  </si>
  <si>
    <t>Palier</t>
  </si>
  <si>
    <t>Pièces</t>
  </si>
  <si>
    <t>Slots</t>
  </si>
  <si>
    <t>Poids</t>
  </si>
  <si>
    <t>Classes ciblées</t>
  </si>
  <si>
    <t>Bonus 2p ATK</t>
  </si>
  <si>
    <t>Bonus 2p DEF</t>
  </si>
  <si>
    <t>Bonus 2p PV</t>
  </si>
  <si>
    <t>Effet complet</t>
  </si>
  <si>
    <t>kind moteur</t>
  </si>
  <si>
    <t>Paramètres</t>
  </si>
  <si>
    <t>Rune ?</t>
  </si>
  <si>
    <t>Difficulté craft</t>
  </si>
  <si>
    <t>Notes / à ajuster</t>
  </si>
  <si>
    <t>colosse</t>
  </si>
  <si>
    <t>Panoplie du Colosse</t>
  </si>
  <si>
    <t>Lourd — le tank qui frappe avec sa masse de vie</t>
  </si>
  <si>
    <t>Grand</t>
  </si>
  <si>
    <t>arme + armure + bijou + relique</t>
  </si>
  <si>
    <t>heavy</t>
  </si>
  <si>
    <t>paladin, inquisiteur</t>
  </si>
  <si>
    <t>+10 % des PV max en dégâts bonus à chaque attaque</t>
  </si>
  <si>
    <t>hp_strike</t>
  </si>
  <si>
    <t>value = 0.10</t>
  </si>
  <si>
    <t>Non</t>
  </si>
  <si>
    <t>—</t>
  </si>
  <si>
    <t>Nerf du 20 juil. 2026 : 20 % → 10 % (tank-DPS trop dominant).</t>
  </si>
  <si>
    <t>duelliste</t>
  </si>
  <si>
    <t>Parure du Duelliste</t>
  </si>
  <si>
    <t>Moyen / léger — deux frappes par tour</t>
  </si>
  <si>
    <t>medium, light</t>
  </si>
  <si>
    <t>guerrier, nécromancien, archer, voleur, mage, soigneur</t>
  </si>
  <si>
    <t>Une 2e attaque chaque tour, chaque frappe à 60 % des dégâts</t>
  </si>
  <si>
    <t>double_strike</t>
  </si>
  <si>
    <t>mult = 0.60</t>
  </si>
  <si>
    <t/>
  </si>
  <si>
    <t>tacticien</t>
  </si>
  <si>
    <t>Atours du Tacticien</t>
  </si>
  <si>
    <t>Léger — les actifs tombent plus vite</t>
  </si>
  <si>
    <t>light</t>
  </si>
  <si>
    <t>archer, voleur, mage, soigneur</t>
  </si>
  <si>
    <t>−1 tour de cooldown sur tous les actifs</t>
  </si>
  <si>
    <t>cdr</t>
  </si>
  <si>
    <t>value = 1</t>
  </si>
  <si>
    <t>provocateur</t>
  </si>
  <si>
    <t>Parure du Provocateur</t>
  </si>
  <si>
    <t>Tank — attire le feu ennemi sur toi</t>
  </si>
  <si>
    <t>Petit</t>
  </si>
  <si>
    <t>bijou + relique</t>
  </si>
  <si>
    <t>universel</t>
  </si>
  <si>
    <t>toutes (bijou+relique = sans poids)</t>
  </si>
  <si>
    <t>Attire les attaques ennemies</t>
  </si>
  <si>
    <t>threat</t>
  </si>
  <si>
    <t>value = 6</t>
  </si>
  <si>
    <t>Oui</t>
  </si>
  <si>
    <t>Introduit en V1.1 (gatedUntilRelease).</t>
  </si>
  <si>
    <t>ame_offerte</t>
  </si>
  <si>
    <t>Parure de l'Âme Offerte</t>
  </si>
  <si>
    <t>Soigneur offensif — une part des soins blesse</t>
  </si>
  <si>
    <t>Rend 70 % du soin, convertit 20 % en dégâts (10 % perdus = coût du set)</t>
  </si>
  <si>
    <t>heal_convert</t>
  </si>
  <si>
    <t>ratio = 0.20 / healRatio = 0.70</t>
  </si>
  <si>
    <t>Nerf : rendait 50 % et convertissait 50 % (gain sec).</t>
  </si>
  <si>
    <t>pyromane</t>
  </si>
  <si>
    <t>Parure du Pyromane</t>
  </si>
  <si>
    <t>Feu — amplifie tes dégâts de feu</t>
  </si>
  <si>
    <t>+35 % de dégâts de FEU</t>
  </si>
  <si>
    <t>dmg_type_amp</t>
  </si>
  <si>
    <t>damageType = fire / value = 0.35</t>
  </si>
  <si>
    <t>V1.1.</t>
  </si>
  <si>
    <t>empoisonneur</t>
  </si>
  <si>
    <t>Parure de l'Empoisonneur</t>
  </si>
  <si>
    <t>Poison — amplifie tes dégâts de poison</t>
  </si>
  <si>
    <t>+35 % de dégâts de POISON</t>
  </si>
  <si>
    <t>damageType = poison / value = 0.35</t>
  </si>
  <si>
    <t>arcaniste</t>
  </si>
  <si>
    <t>Parure de l'Arcaniste</t>
  </si>
  <si>
    <t>Arcane — amplifie tes dégâts arcaniques</t>
  </si>
  <si>
    <t>+35 % de dégâts ARCANIQUES</t>
  </si>
  <si>
    <t>damageType = arcane / value = 0.35</t>
  </si>
  <si>
    <t>brute</t>
  </si>
  <si>
    <t>Parure de la Brute</t>
  </si>
  <si>
    <t>Physique — amplifie tes dégâts physiques</t>
  </si>
  <si>
    <t>+35 % de dégâts PHYSIQUES</t>
  </si>
  <si>
    <t>damageType = physical / value = 0.35</t>
  </si>
  <si>
    <t>RAPPEL IMPORTANT — pourquoi il FAUT un catalogue Arc 2</t>
  </si>
  <si>
    <t>Ces 9 sets sont réservés à l'ARC 1. Le gating d'arc retire du catalogue de forge tout set d'un autre arc</t>
  </si>
  <si>
    <t>(setPieceWrongArc, appliqué dans CraftStudio / JewelStudio / RelicStudio).</t>
  </si>
  <si>
    <t>→ Un joueur en Arc 2 ne peut forger AUCUN de ces sets.</t>
  </si>
  <si>
    <t>→ Ceux qu'il possède ont été craftés à l'échelle Arc 1 (×1), alors que l'équipement d'Arc 2 est à ×14 :</t>
  </si>
  <si>
    <t xml:space="preserve">   leurs stats ne pèsent plus rien, seul l'effet subsiste.</t>
  </si>
  <si>
    <t>Sans catalogue d'Arc 2, le pilier « les sets font la moitié de la puissance » disparaît au passage d'arc.</t>
  </si>
  <si>
    <t>SETS — ARC 2 (proposition à arbitrer)</t>
  </si>
  <si>
    <t>Architecture arrêtée : TOUS les sets d'Arc 2 sont des PETITS sets 2 pièces (bijou + relique). Ils cohabitent avec l'arme et l'armure divines, et sont donc TOUS extractibles en rune.</t>
  </si>
  <si>
    <t>PALIER 1 — SOCLE (craft facile, effets simples et lisibles)</t>
  </si>
  <si>
    <t>a2_physique</t>
  </si>
  <si>
    <t>Fer de Lance</t>
  </si>
  <si>
    <t>Socle — dégâts physiques</t>
  </si>
  <si>
    <t>P1</t>
  </si>
  <si>
    <t>damageType = physical / value = ?</t>
  </si>
  <si>
    <t>Facile</t>
  </si>
  <si>
    <t>Remplaçant de « brute ». Doit dépasser 0.35 pour justifier l'Arc 2.</t>
  </si>
  <si>
    <t>a2_magique</t>
  </si>
  <si>
    <t>Verbe Ancien</t>
  </si>
  <si>
    <t>Socle — dégâts magiques</t>
  </si>
  <si>
    <t>QUESTION OUVERTE : garde-t-on aussi feu et poison comme axes séparés ?</t>
  </si>
  <si>
    <t>a2_soin</t>
  </si>
  <si>
    <t>Main Secourable</t>
  </si>
  <si>
    <t>Socle — soins</t>
  </si>
  <si>
    <t>heal_amp</t>
  </si>
  <si>
    <t>bonus = ?</t>
  </si>
  <si>
    <t>Nouveau : Arc 1 n’avait pas d’ampli de soin pur.</t>
  </si>
  <si>
    <t>PALIER 2 — SPÉCIALISATION (craft moyen)</t>
  </si>
  <si>
    <t>a2_charognard</t>
  </si>
  <si>
    <t>Charognard</t>
  </si>
  <si>
    <t>Dégâts accrus sur cible affligée</t>
  </si>
  <si>
    <t>P2</t>
  </si>
  <si>
    <t>+X % de dégâts contre une cible déjà sous statut</t>
  </si>
  <si>
    <t>amp_vs_status</t>
  </si>
  <si>
    <t>value = ? / statuses = ?</t>
  </si>
  <si>
    <t>Moyen</t>
  </si>
  <si>
    <t>a2_brisegarde</t>
  </si>
  <si>
    <t>Brise-Garde</t>
  </si>
  <si>
    <t>Pénétration d'armure</t>
  </si>
  <si>
    <t>Ignore X % de la DEF adverse</t>
  </si>
  <si>
    <t>armor_pen</t>
  </si>
  <si>
    <t>value = ?</t>
  </si>
  <si>
    <t>a2_volee</t>
  </si>
  <si>
    <t>Volée</t>
  </si>
  <si>
    <t>Frappe une cible supplémentaire</t>
  </si>
  <si>
    <t>Touche X cible(s) en plus</t>
  </si>
  <si>
    <t>multi_shot</t>
  </si>
  <si>
    <t>targets = ? / mult = ?</t>
  </si>
  <si>
    <t>Très fort en 10v10 (champs de bataille) — à surveiller.</t>
  </si>
  <si>
    <t>a2_epines</t>
  </si>
  <si>
    <t>Épines</t>
  </si>
  <si>
    <t>Riposte sur esquive</t>
  </si>
  <si>
    <t>Riposte quand le héros esquive</t>
  </si>
  <si>
    <t>riposte_dodge</t>
  </si>
  <si>
    <t>dmg = ?</t>
  </si>
  <si>
    <t>a2_rempart</t>
  </si>
  <si>
    <t>Rempart</t>
  </si>
  <si>
    <t>Bouclier d'allié</t>
  </si>
  <si>
    <t>Accorde un bouclier à un allié en début de combat</t>
  </si>
  <si>
    <t>ally_shield</t>
  </si>
  <si>
    <t>amount = ?</t>
  </si>
  <si>
    <t>a2_souffle</t>
  </si>
  <si>
    <t>Second Souffle</t>
  </si>
  <si>
    <t>Soin continu d'équipe</t>
  </si>
  <si>
    <t>Soigne l'équipe chaque tour</t>
  </si>
  <si>
    <t>team_hot</t>
  </si>
  <si>
    <t>heal = ? / turns = ?</t>
  </si>
  <si>
    <t>a2_sentinelle</t>
  </si>
  <si>
    <t>Sentinelle</t>
  </si>
  <si>
    <t>Tank — encaisse et riposte</t>
  </si>
  <si>
    <t>Attire les coups et riposte avec un bouclier</t>
  </si>
  <si>
    <t>threat + riposte_shield</t>
  </si>
  <si>
    <t>value = ? / shield = ?</t>
  </si>
  <si>
    <t>Cumule 2 kinds : vérifier que le moteur accepte 2 abilities sur un set.</t>
  </si>
  <si>
    <t>PALIER 3 — SIGNATURE (craft difficile, définit la build)</t>
  </si>
  <si>
    <t>a2_charnier</t>
  </si>
  <si>
    <t>Charnier</t>
  </si>
  <si>
    <t>Invocations — quantité</t>
  </si>
  <si>
    <t>P3</t>
  </si>
  <si>
    <t>Augmente le nombre de squelettes invocables</t>
  </si>
  <si>
    <t>summon_pool</t>
  </si>
  <si>
    <t>extra = ?</t>
  </si>
  <si>
    <t>Difficile</t>
  </si>
  <si>
    <t>Demande explicite de Jules.</t>
  </si>
  <si>
    <t>a2_rituel</t>
  </si>
  <si>
    <t>Rituel d'Os</t>
  </si>
  <si>
    <t>Invocations — puissance</t>
  </si>
  <si>
    <t>Les invocations se renforcent entre elles</t>
  </si>
  <si>
    <t>bone_ritual + summon_buff</t>
  </si>
  <si>
    <t>a2_pacte</t>
  </si>
  <si>
    <t>Pacte de Sang</t>
  </si>
  <si>
    <t>Auto-dégâts contre attaque</t>
  </si>
  <si>
    <t>Le héros s'inflige des dégâts pour augmenter son ATK</t>
  </si>
  <si>
    <t>À VÉRIFIER</t>
  </si>
  <si>
    <t>?</t>
  </si>
  <si>
    <t>ATTENTION : aucun kind ne fait exactement ça. Proche de drain_aura. Peut demander du MOTEUR.</t>
  </si>
  <si>
    <t>a2_contagion</t>
  </si>
  <si>
    <t>Contagion</t>
  </si>
  <si>
    <t>DoT — propagation</t>
  </si>
  <si>
    <t>Les DoT se propagent aux ennemis voisins</t>
  </si>
  <si>
    <t>contagion</t>
  </si>
  <si>
    <t>chance = ? / range = ?</t>
  </si>
  <si>
    <t>a2_venin</t>
  </si>
  <si>
    <t>Venin Profond</t>
  </si>
  <si>
    <t>DoT — empilement</t>
  </si>
  <si>
    <t>Double le nombre de DoT empilables</t>
  </si>
  <si>
    <t>dot_amp / stack_on_hit</t>
  </si>
  <si>
    <t>maxStacks = ?</t>
  </si>
  <si>
    <t>ATTENTION : vérifier que le PLAFOND de stacks est paramétrable et non codé en dur.</t>
  </si>
  <si>
    <t>a2_detonation</t>
  </si>
  <si>
    <t>Détonation</t>
  </si>
  <si>
    <t>DoT — burst</t>
  </si>
  <si>
    <t>Consomme les stacks pour un gros coup</t>
  </si>
  <si>
    <t>detonate + purge_stack</t>
  </si>
  <si>
    <t>mult = ?</t>
  </si>
  <si>
    <t>a2_derniercri</t>
  </si>
  <si>
    <t>Dernier Cri</t>
  </si>
  <si>
    <t>Explosion à la mort</t>
  </si>
  <si>
    <t>Explose en mourant et blesse les ennemis</t>
  </si>
  <si>
    <t>explode_on_death</t>
  </si>
  <si>
    <t>a2_serment</t>
  </si>
  <si>
    <t>Serment</t>
  </si>
  <si>
    <t>Résurrection</t>
  </si>
  <si>
    <t>Ressuscite un allié une fois par combat</t>
  </si>
  <si>
    <t>revive</t>
  </si>
  <si>
    <t>hpPct = ?</t>
  </si>
  <si>
    <t>Très fort : à surveiller en arène.</t>
  </si>
  <si>
    <t>a2_ralliement</t>
  </si>
  <si>
    <t>Cri de Ralliement</t>
  </si>
  <si>
    <t>S'enrage aux morts alliées</t>
  </si>
  <si>
    <t>L'équipe gagne de l'ATK à chaque allié tombé</t>
  </si>
  <si>
    <t>rally_death</t>
  </si>
  <si>
    <t>a2_echo</t>
  </si>
  <si>
    <t>Écho</t>
  </si>
  <si>
    <t>Relance de compétence</t>
  </si>
  <si>
    <t>Relance automatiquement une compétence</t>
  </si>
  <si>
    <t>autocast</t>
  </si>
  <si>
    <t>chance = ?</t>
  </si>
  <si>
    <t>EXEMPLE DE REMPLISSAGE ATTENDU (supprime cette ligne quand tu as pris le pli)</t>
  </si>
  <si>
    <t>a2_exemple</t>
  </si>
  <si>
    <t>Nom du Set</t>
  </si>
  <si>
    <t>Son rôle en une ligne</t>
  </si>
  <si>
    <t>+45 % de dégâts physiques</t>
  </si>
  <si>
    <t>damageType = physical / value = 0.45</t>
  </si>
  <si>
    <t>Ce que tu veux que j’ajuste</t>
  </si>
  <si>
    <t>LÉGENDE — comment remplir</t>
  </si>
  <si>
    <t>• Cellules JAUNES = à toi : Bonus 2p ATK / DEF / PV, et la colonne « Paramètres » (les valeurs chiffrées de l’effet).</t>
  </si>
  <si>
    <t>• Les pourcentages s’écrivent en FRACTION, comme dans le code : 0.45 = +45 %. (L’Arc 1 utilise 0.35 pour ses amplis.)</t>
  </si>
  <si>
    <t>• Colonnes blanches = ma proposition : renomme, réécris ou supprime librement, c’est fait pour.</t>
  </si>
  <si>
    <t>• Ajoute autant de lignes que tu veux — l’objectif annoncé est 15/20 sets, voire plus.</t>
  </si>
  <si>
    <t>• Difficulté craft = ce qui pilote la montée en puissance. Reste à décider AVEC QUELS MATÉRIAUX on gate chaque palier.</t>
  </si>
  <si>
    <t>• Colonne « kind moteur » : ne l’invente pas. Si un effet n’a pas de kind existant, écris « À VÉRIFIER » et j’irai regarder.</t>
  </si>
  <si>
    <t>• Deux lignes portent déjà un avertissement de faisabilité : Pacte de Sang et Venin Profond.</t>
  </si>
  <si>
    <t>RÉCAPITULATIF</t>
  </si>
  <si>
    <t>Sets palier 1</t>
  </si>
  <si>
    <t>Sets palier 2</t>
  </si>
  <si>
    <t>Sets palier 3</t>
  </si>
  <si>
    <t>TOTAL sets Arc 2</t>
  </si>
  <si>
    <t>X % de dégâts MAGIQUE</t>
  </si>
  <si>
    <t>X % de dégâts PHYSIQUES</t>
  </si>
  <si>
    <t>damageType = magique / value = ?</t>
  </si>
  <si>
    <t>X % de soins prodigués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</si>
</sst>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i/>
      <sz val="10"/>
      <color rgb="FF595959"/>
      <name val="Arial"/>
    </font>
    <font>
      <b/>
      <sz val="10"/>
      <color rgb="FFC00000"/>
      <name val="Arial"/>
    </font>
    <font>
      <sz val="9"/>
      <color rgb="FFC00000"/>
      <name val="Arial"/>
    </font>
    <font>
      <b/>
      <sz val="10"/>
      <color rgb="FF1F3864"/>
      <name val="Arial"/>
    </font>
    <font>
      <sz val="10"/>
      <name val="Arial"/>
    </font>
    <font>
      <b/>
      <sz val="10"/>
      <color rgb="FF375623"/>
      <name val="Arial"/>
    </font>
    <font>
      <b/>
      <sz val="11"/>
      <color rgb="FF1F3864"/>
      <name val="Arial"/>
    </font>
    <font>
      <sz val="9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  <fill>
      <patternFill patternType="solid">
        <fgColor rgb="FFFFFF00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3" borderId="1" xfId="0" applyFont="1" applyFill="1" applyBorder="1"/>
    <xf numFmtId="0" fontId="0" fillId="3" borderId="1" xfId="0" applyFill="1" applyBorder="1"/>
    <xf numFmtId="0" fontId="8" fillId="0" borderId="1" xfId="0" applyFont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9" fillId="0" borderId="0" xfId="0" applyFont="1"/>
    <xf numFmtId="0" fontId="8" fillId="5" borderId="1" xfId="0" applyFont="1" applyFill="1" applyBorder="1" applyAlignment="1">
      <alignment vertical="top" wrapText="1"/>
    </xf>
    <xf numFmtId="0" fontId="10" fillId="0" borderId="0" xfId="0" applyFont="1"/>
    <xf numFmtId="0" fontId="11" fillId="0" borderId="0" xfId="0" applyFont="1"/>
    <xf numFmtId="0" fontId="8" fillId="0" borderId="0" xfId="0" applyFont="1"/>
    <xf numFmtId="0" fontId="1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8" customWidth="1"/>
    <col min="2" max="2" width="28" customWidth="1"/>
    <col min="3" max="3" width="40" customWidth="1"/>
    <col min="5" max="5" width="8" customWidth="1"/>
    <col min="6" max="6" width="24" customWidth="1"/>
    <col min="7" max="7" width="16" customWidth="1"/>
    <col min="8" max="8" width="28" customWidth="1"/>
    <col min="9" max="11" width="12" customWidth="1"/>
    <col min="12" max="12" width="48" customWidth="1"/>
    <col min="13" max="13" width="20" customWidth="1"/>
    <col min="14" max="14" width="26" customWidth="1"/>
    <col min="16" max="16" width="15" customWidth="1"/>
    <col min="17" max="17" width="38" customWidth="1"/>
  </cols>
  <sheetData>
    <row r="1" spans="1:17" ht="18" x14ac:dyDescent="0.25">
      <c r="A1" s="1" t="s">
        <v>0</v>
      </c>
    </row>
    <row r="2" spans="1:17" ht="27.95" customHeight="1" x14ac:dyDescent="0.25">
      <c r="A2" s="16" t="s">
        <v>1</v>
      </c>
      <c r="B2" s="16"/>
      <c r="C2" s="16"/>
      <c r="D2" s="16"/>
      <c r="E2" s="16"/>
      <c r="F2" s="16"/>
      <c r="G2" s="16"/>
      <c r="H2" s="16"/>
    </row>
    <row r="4" spans="1:17" ht="30" customHeigh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</row>
    <row r="5" spans="1:17" ht="25.5" x14ac:dyDescent="0.25">
      <c r="A5" s="3" t="s">
        <v>19</v>
      </c>
      <c r="B5" s="3" t="s">
        <v>20</v>
      </c>
      <c r="C5" s="3" t="s">
        <v>21</v>
      </c>
      <c r="D5" s="3" t="s">
        <v>22</v>
      </c>
      <c r="E5" s="3">
        <v>4</v>
      </c>
      <c r="F5" s="3" t="s">
        <v>23</v>
      </c>
      <c r="G5" s="3" t="s">
        <v>24</v>
      </c>
      <c r="H5" s="3" t="s">
        <v>25</v>
      </c>
      <c r="I5" s="3">
        <v>0</v>
      </c>
      <c r="J5" s="3">
        <v>0</v>
      </c>
      <c r="K5" s="3">
        <v>250</v>
      </c>
      <c r="L5" s="3" t="s">
        <v>26</v>
      </c>
      <c r="M5" s="3" t="s">
        <v>27</v>
      </c>
      <c r="N5" s="3" t="s">
        <v>28</v>
      </c>
      <c r="O5" s="3" t="s">
        <v>29</v>
      </c>
      <c r="P5" s="3" t="s">
        <v>30</v>
      </c>
      <c r="Q5" s="3" t="s">
        <v>31</v>
      </c>
    </row>
    <row r="6" spans="1:17" ht="25.5" x14ac:dyDescent="0.25">
      <c r="A6" s="3" t="s">
        <v>32</v>
      </c>
      <c r="B6" s="3" t="s">
        <v>33</v>
      </c>
      <c r="C6" s="3" t="s">
        <v>34</v>
      </c>
      <c r="D6" s="3" t="s">
        <v>22</v>
      </c>
      <c r="E6" s="3">
        <v>4</v>
      </c>
      <c r="F6" s="3" t="s">
        <v>23</v>
      </c>
      <c r="G6" s="3" t="s">
        <v>35</v>
      </c>
      <c r="H6" s="3" t="s">
        <v>36</v>
      </c>
      <c r="I6" s="3">
        <v>40</v>
      </c>
      <c r="J6" s="3">
        <v>0</v>
      </c>
      <c r="K6" s="3">
        <v>0</v>
      </c>
      <c r="L6" s="3" t="s">
        <v>37</v>
      </c>
      <c r="M6" s="3" t="s">
        <v>38</v>
      </c>
      <c r="N6" s="3" t="s">
        <v>39</v>
      </c>
      <c r="O6" s="3" t="s">
        <v>29</v>
      </c>
      <c r="P6" s="3" t="s">
        <v>30</v>
      </c>
      <c r="Q6" s="3" t="s">
        <v>40</v>
      </c>
    </row>
    <row r="7" spans="1:17" ht="25.5" x14ac:dyDescent="0.25">
      <c r="A7" s="3" t="s">
        <v>41</v>
      </c>
      <c r="B7" s="3" t="s">
        <v>42</v>
      </c>
      <c r="C7" s="3" t="s">
        <v>43</v>
      </c>
      <c r="D7" s="3" t="s">
        <v>22</v>
      </c>
      <c r="E7" s="3">
        <v>4</v>
      </c>
      <c r="F7" s="3" t="s">
        <v>23</v>
      </c>
      <c r="G7" s="3" t="s">
        <v>44</v>
      </c>
      <c r="H7" s="3" t="s">
        <v>45</v>
      </c>
      <c r="I7" s="3">
        <v>30</v>
      </c>
      <c r="J7" s="3">
        <v>0</v>
      </c>
      <c r="K7" s="3">
        <v>0</v>
      </c>
      <c r="L7" s="3" t="s">
        <v>46</v>
      </c>
      <c r="M7" s="3" t="s">
        <v>47</v>
      </c>
      <c r="N7" s="3" t="s">
        <v>48</v>
      </c>
      <c r="O7" s="3" t="s">
        <v>29</v>
      </c>
      <c r="P7" s="3" t="s">
        <v>30</v>
      </c>
      <c r="Q7" s="3" t="s">
        <v>40</v>
      </c>
    </row>
    <row r="8" spans="1:17" ht="25.5" x14ac:dyDescent="0.25">
      <c r="A8" s="3" t="s">
        <v>49</v>
      </c>
      <c r="B8" s="3" t="s">
        <v>50</v>
      </c>
      <c r="C8" s="3" t="s">
        <v>51</v>
      </c>
      <c r="D8" s="3" t="s">
        <v>52</v>
      </c>
      <c r="E8" s="3">
        <v>2</v>
      </c>
      <c r="F8" s="3" t="s">
        <v>53</v>
      </c>
      <c r="G8" s="3" t="s">
        <v>54</v>
      </c>
      <c r="H8" s="3" t="s">
        <v>55</v>
      </c>
      <c r="I8" s="3">
        <v>0</v>
      </c>
      <c r="J8" s="3">
        <v>30</v>
      </c>
      <c r="K8" s="3">
        <v>150</v>
      </c>
      <c r="L8" s="3" t="s">
        <v>56</v>
      </c>
      <c r="M8" s="3" t="s">
        <v>57</v>
      </c>
      <c r="N8" s="3" t="s">
        <v>58</v>
      </c>
      <c r="O8" s="3" t="s">
        <v>59</v>
      </c>
      <c r="P8" s="3" t="s">
        <v>30</v>
      </c>
      <c r="Q8" s="3" t="s">
        <v>60</v>
      </c>
    </row>
    <row r="9" spans="1:17" ht="25.5" x14ac:dyDescent="0.25">
      <c r="A9" s="3" t="s">
        <v>61</v>
      </c>
      <c r="B9" s="3" t="s">
        <v>62</v>
      </c>
      <c r="C9" s="3" t="s">
        <v>63</v>
      </c>
      <c r="D9" s="3" t="s">
        <v>52</v>
      </c>
      <c r="E9" s="3">
        <v>2</v>
      </c>
      <c r="F9" s="3" t="s">
        <v>53</v>
      </c>
      <c r="G9" s="3" t="s">
        <v>54</v>
      </c>
      <c r="H9" s="3" t="s">
        <v>55</v>
      </c>
      <c r="I9" s="3">
        <v>25</v>
      </c>
      <c r="J9" s="3">
        <v>0</v>
      </c>
      <c r="K9" s="3">
        <v>100</v>
      </c>
      <c r="L9" s="3" t="s">
        <v>64</v>
      </c>
      <c r="M9" s="3" t="s">
        <v>65</v>
      </c>
      <c r="N9" s="3" t="s">
        <v>66</v>
      </c>
      <c r="O9" s="3" t="s">
        <v>59</v>
      </c>
      <c r="P9" s="3" t="s">
        <v>30</v>
      </c>
      <c r="Q9" s="3" t="s">
        <v>67</v>
      </c>
    </row>
    <row r="10" spans="1:17" ht="25.5" x14ac:dyDescent="0.25">
      <c r="A10" s="3" t="s">
        <v>68</v>
      </c>
      <c r="B10" s="3" t="s">
        <v>69</v>
      </c>
      <c r="C10" s="3" t="s">
        <v>70</v>
      </c>
      <c r="D10" s="3" t="s">
        <v>52</v>
      </c>
      <c r="E10" s="3">
        <v>2</v>
      </c>
      <c r="F10" s="3" t="s">
        <v>53</v>
      </c>
      <c r="G10" s="3" t="s">
        <v>54</v>
      </c>
      <c r="H10" s="3" t="s">
        <v>55</v>
      </c>
      <c r="I10" s="3">
        <v>30</v>
      </c>
      <c r="J10" s="3">
        <v>0</v>
      </c>
      <c r="K10" s="3">
        <v>0</v>
      </c>
      <c r="L10" s="3" t="s">
        <v>71</v>
      </c>
      <c r="M10" s="3" t="s">
        <v>72</v>
      </c>
      <c r="N10" s="3" t="s">
        <v>73</v>
      </c>
      <c r="O10" s="3" t="s">
        <v>59</v>
      </c>
      <c r="P10" s="3" t="s">
        <v>30</v>
      </c>
      <c r="Q10" s="3" t="s">
        <v>74</v>
      </c>
    </row>
    <row r="11" spans="1:17" ht="25.5" x14ac:dyDescent="0.25">
      <c r="A11" s="3" t="s">
        <v>75</v>
      </c>
      <c r="B11" s="3" t="s">
        <v>76</v>
      </c>
      <c r="C11" s="3" t="s">
        <v>77</v>
      </c>
      <c r="D11" s="3" t="s">
        <v>52</v>
      </c>
      <c r="E11" s="3">
        <v>2</v>
      </c>
      <c r="F11" s="3" t="s">
        <v>53</v>
      </c>
      <c r="G11" s="3" t="s">
        <v>54</v>
      </c>
      <c r="H11" s="3" t="s">
        <v>55</v>
      </c>
      <c r="I11" s="3">
        <v>30</v>
      </c>
      <c r="J11" s="3">
        <v>0</v>
      </c>
      <c r="K11" s="3">
        <v>0</v>
      </c>
      <c r="L11" s="3" t="s">
        <v>78</v>
      </c>
      <c r="M11" s="3" t="s">
        <v>72</v>
      </c>
      <c r="N11" s="3" t="s">
        <v>79</v>
      </c>
      <c r="O11" s="3" t="s">
        <v>59</v>
      </c>
      <c r="P11" s="3" t="s">
        <v>30</v>
      </c>
      <c r="Q11" s="3" t="s">
        <v>74</v>
      </c>
    </row>
    <row r="12" spans="1:17" ht="25.5" x14ac:dyDescent="0.25">
      <c r="A12" s="3" t="s">
        <v>80</v>
      </c>
      <c r="B12" s="3" t="s">
        <v>81</v>
      </c>
      <c r="C12" s="3" t="s">
        <v>82</v>
      </c>
      <c r="D12" s="3" t="s">
        <v>52</v>
      </c>
      <c r="E12" s="3">
        <v>2</v>
      </c>
      <c r="F12" s="3" t="s">
        <v>53</v>
      </c>
      <c r="G12" s="3" t="s">
        <v>54</v>
      </c>
      <c r="H12" s="3" t="s">
        <v>55</v>
      </c>
      <c r="I12" s="3">
        <v>30</v>
      </c>
      <c r="J12" s="3">
        <v>0</v>
      </c>
      <c r="K12" s="3">
        <v>0</v>
      </c>
      <c r="L12" s="3" t="s">
        <v>83</v>
      </c>
      <c r="M12" s="3" t="s">
        <v>72</v>
      </c>
      <c r="N12" s="3" t="s">
        <v>84</v>
      </c>
      <c r="O12" s="3" t="s">
        <v>59</v>
      </c>
      <c r="P12" s="3" t="s">
        <v>30</v>
      </c>
      <c r="Q12" s="3" t="s">
        <v>74</v>
      </c>
    </row>
    <row r="13" spans="1:17" ht="25.5" x14ac:dyDescent="0.25">
      <c r="A13" s="3" t="s">
        <v>85</v>
      </c>
      <c r="B13" s="3" t="s">
        <v>86</v>
      </c>
      <c r="C13" s="3" t="s">
        <v>87</v>
      </c>
      <c r="D13" s="3" t="s">
        <v>52</v>
      </c>
      <c r="E13" s="3">
        <v>2</v>
      </c>
      <c r="F13" s="3" t="s">
        <v>53</v>
      </c>
      <c r="G13" s="3" t="s">
        <v>54</v>
      </c>
      <c r="H13" s="3" t="s">
        <v>55</v>
      </c>
      <c r="I13" s="3">
        <v>30</v>
      </c>
      <c r="J13" s="3">
        <v>0</v>
      </c>
      <c r="K13" s="3">
        <v>0</v>
      </c>
      <c r="L13" s="3" t="s">
        <v>88</v>
      </c>
      <c r="M13" s="3" t="s">
        <v>72</v>
      </c>
      <c r="N13" s="3" t="s">
        <v>89</v>
      </c>
      <c r="O13" s="3" t="s">
        <v>59</v>
      </c>
      <c r="P13" s="3" t="s">
        <v>30</v>
      </c>
      <c r="Q13" s="3" t="s">
        <v>74</v>
      </c>
    </row>
    <row r="15" spans="1:17" x14ac:dyDescent="0.25">
      <c r="A15" s="4" t="s">
        <v>90</v>
      </c>
    </row>
    <row r="16" spans="1:17" x14ac:dyDescent="0.25">
      <c r="A16" s="5" t="s">
        <v>91</v>
      </c>
    </row>
    <row r="17" spans="1:1" x14ac:dyDescent="0.25">
      <c r="A17" s="5" t="s">
        <v>92</v>
      </c>
    </row>
    <row r="18" spans="1:1" x14ac:dyDescent="0.25">
      <c r="A18" s="5" t="s">
        <v>93</v>
      </c>
    </row>
    <row r="19" spans="1:1" x14ac:dyDescent="0.25">
      <c r="A19" s="5" t="s">
        <v>94</v>
      </c>
    </row>
    <row r="20" spans="1:1" x14ac:dyDescent="0.25">
      <c r="A20" s="5" t="s">
        <v>95</v>
      </c>
    </row>
    <row r="21" spans="1:1" x14ac:dyDescent="0.25">
      <c r="A21" s="5" t="s">
        <v>96</v>
      </c>
    </row>
  </sheetData>
  <mergeCells count="1">
    <mergeCell ref="A2:H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7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N10" sqref="N10"/>
    </sheetView>
  </sheetViews>
  <sheetFormatPr baseColWidth="10" defaultColWidth="9.140625" defaultRowHeight="15" x14ac:dyDescent="0.25"/>
  <cols>
    <col min="1" max="1" width="18" customWidth="1"/>
    <col min="2" max="2" width="28" customWidth="1"/>
    <col min="3" max="3" width="40" customWidth="1"/>
    <col min="5" max="5" width="8" customWidth="1"/>
    <col min="6" max="6" width="24" customWidth="1"/>
    <col min="7" max="7" width="16" customWidth="1"/>
    <col min="8" max="8" width="28" customWidth="1"/>
    <col min="9" max="11" width="12" customWidth="1"/>
    <col min="12" max="12" width="48" customWidth="1"/>
    <col min="13" max="13" width="20" customWidth="1"/>
    <col min="14" max="14" width="26" customWidth="1"/>
    <col min="16" max="16" width="15" customWidth="1"/>
    <col min="17" max="17" width="38" customWidth="1"/>
  </cols>
  <sheetData>
    <row r="1" spans="1:17" ht="18" x14ac:dyDescent="0.25">
      <c r="A1" s="1" t="s">
        <v>97</v>
      </c>
    </row>
    <row r="2" spans="1:17" ht="27.95" customHeight="1" x14ac:dyDescent="0.25">
      <c r="A2" s="16" t="s">
        <v>98</v>
      </c>
      <c r="B2" s="16"/>
      <c r="C2" s="16"/>
      <c r="D2" s="16"/>
      <c r="E2" s="16"/>
      <c r="F2" s="16"/>
      <c r="G2" s="16"/>
      <c r="H2" s="16"/>
    </row>
    <row r="4" spans="1:17" ht="30" customHeigh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</row>
    <row r="5" spans="1:17" x14ac:dyDescent="0.25">
      <c r="A5" s="6" t="s">
        <v>99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ht="25.5" x14ac:dyDescent="0.25">
      <c r="A6" s="8" t="s">
        <v>100</v>
      </c>
      <c r="B6" s="8" t="s">
        <v>101</v>
      </c>
      <c r="C6" s="8" t="s">
        <v>102</v>
      </c>
      <c r="D6" s="8" t="s">
        <v>103</v>
      </c>
      <c r="E6" s="8">
        <v>2</v>
      </c>
      <c r="F6" s="8" t="s">
        <v>53</v>
      </c>
      <c r="G6" s="8" t="s">
        <v>54</v>
      </c>
      <c r="H6" s="8" t="s">
        <v>55</v>
      </c>
      <c r="I6" s="9"/>
      <c r="J6" s="9"/>
      <c r="K6" s="9"/>
      <c r="L6" s="8" t="s">
        <v>249</v>
      </c>
      <c r="M6" s="8" t="s">
        <v>72</v>
      </c>
      <c r="N6" s="9" t="s">
        <v>104</v>
      </c>
      <c r="O6" s="8" t="s">
        <v>59</v>
      </c>
      <c r="P6" s="8" t="s">
        <v>105</v>
      </c>
      <c r="Q6" s="8" t="s">
        <v>106</v>
      </c>
    </row>
    <row r="7" spans="1:17" ht="25.5" x14ac:dyDescent="0.25">
      <c r="A7" s="8" t="s">
        <v>107</v>
      </c>
      <c r="B7" s="8" t="s">
        <v>108</v>
      </c>
      <c r="C7" s="8" t="s">
        <v>109</v>
      </c>
      <c r="D7" s="8" t="s">
        <v>103</v>
      </c>
      <c r="E7" s="8">
        <v>2</v>
      </c>
      <c r="F7" s="8" t="s">
        <v>53</v>
      </c>
      <c r="G7" s="8" t="s">
        <v>54</v>
      </c>
      <c r="H7" s="8" t="s">
        <v>55</v>
      </c>
      <c r="I7" s="9"/>
      <c r="J7" s="9"/>
      <c r="K7" s="9"/>
      <c r="L7" s="8" t="s">
        <v>248</v>
      </c>
      <c r="M7" s="8" t="s">
        <v>72</v>
      </c>
      <c r="N7" s="9" t="s">
        <v>250</v>
      </c>
      <c r="O7" s="8" t="s">
        <v>59</v>
      </c>
      <c r="P7" s="8" t="s">
        <v>105</v>
      </c>
      <c r="Q7" s="8" t="s">
        <v>110</v>
      </c>
    </row>
    <row r="8" spans="1:17" ht="25.5" x14ac:dyDescent="0.25">
      <c r="A8" s="8" t="s">
        <v>111</v>
      </c>
      <c r="B8" s="8" t="s">
        <v>112</v>
      </c>
      <c r="C8" s="8" t="s">
        <v>113</v>
      </c>
      <c r="D8" s="8" t="s">
        <v>103</v>
      </c>
      <c r="E8" s="8">
        <v>2</v>
      </c>
      <c r="F8" s="8" t="s">
        <v>53</v>
      </c>
      <c r="G8" s="8" t="s">
        <v>54</v>
      </c>
      <c r="H8" s="8" t="s">
        <v>55</v>
      </c>
      <c r="I8" s="9"/>
      <c r="J8" s="9"/>
      <c r="K8" s="9"/>
      <c r="L8" s="8" t="s">
        <v>251</v>
      </c>
      <c r="M8" s="8" t="s">
        <v>114</v>
      </c>
      <c r="N8" s="9" t="s">
        <v>115</v>
      </c>
      <c r="O8" s="8" t="s">
        <v>59</v>
      </c>
      <c r="P8" s="8" t="s">
        <v>105</v>
      </c>
      <c r="Q8" s="8" t="s">
        <v>116</v>
      </c>
    </row>
    <row r="9" spans="1:17" x14ac:dyDescent="0.25">
      <c r="A9" s="6" t="s">
        <v>117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ht="25.5" x14ac:dyDescent="0.25">
      <c r="A10" s="8" t="s">
        <v>118</v>
      </c>
      <c r="B10" s="8" t="s">
        <v>119</v>
      </c>
      <c r="C10" s="8" t="s">
        <v>120</v>
      </c>
      <c r="D10" s="8" t="s">
        <v>121</v>
      </c>
      <c r="E10" s="8">
        <v>2</v>
      </c>
      <c r="F10" s="8" t="s">
        <v>53</v>
      </c>
      <c r="G10" s="8" t="s">
        <v>54</v>
      </c>
      <c r="H10" s="8" t="s">
        <v>55</v>
      </c>
      <c r="I10" s="9"/>
      <c r="J10" s="9"/>
      <c r="K10" s="9"/>
      <c r="L10" s="8" t="s">
        <v>122</v>
      </c>
      <c r="M10" s="8" t="s">
        <v>123</v>
      </c>
      <c r="N10" s="9" t="s">
        <v>124</v>
      </c>
      <c r="O10" s="8" t="s">
        <v>59</v>
      </c>
      <c r="P10" s="8" t="s">
        <v>125</v>
      </c>
      <c r="Q10" s="8" t="s">
        <v>40</v>
      </c>
    </row>
    <row r="11" spans="1:17" ht="25.5" x14ac:dyDescent="0.25">
      <c r="A11" s="8" t="s">
        <v>126</v>
      </c>
      <c r="B11" s="8" t="s">
        <v>127</v>
      </c>
      <c r="C11" s="8" t="s">
        <v>128</v>
      </c>
      <c r="D11" s="8" t="s">
        <v>121</v>
      </c>
      <c r="E11" s="8">
        <v>2</v>
      </c>
      <c r="F11" s="8" t="s">
        <v>53</v>
      </c>
      <c r="G11" s="8" t="s">
        <v>54</v>
      </c>
      <c r="H11" s="8" t="s">
        <v>55</v>
      </c>
      <c r="I11" s="9"/>
      <c r="J11" s="9"/>
      <c r="K11" s="9"/>
      <c r="L11" s="8" t="s">
        <v>129</v>
      </c>
      <c r="M11" s="8" t="s">
        <v>130</v>
      </c>
      <c r="N11" s="9" t="s">
        <v>131</v>
      </c>
      <c r="O11" s="8" t="s">
        <v>59</v>
      </c>
      <c r="P11" s="8" t="s">
        <v>125</v>
      </c>
      <c r="Q11" s="8" t="s">
        <v>40</v>
      </c>
    </row>
    <row r="12" spans="1:17" ht="25.5" x14ac:dyDescent="0.25">
      <c r="A12" s="8" t="s">
        <v>132</v>
      </c>
      <c r="B12" s="8" t="s">
        <v>133</v>
      </c>
      <c r="C12" s="8" t="s">
        <v>134</v>
      </c>
      <c r="D12" s="8" t="s">
        <v>121</v>
      </c>
      <c r="E12" s="8">
        <v>2</v>
      </c>
      <c r="F12" s="8" t="s">
        <v>53</v>
      </c>
      <c r="G12" s="8" t="s">
        <v>54</v>
      </c>
      <c r="H12" s="8" t="s">
        <v>55</v>
      </c>
      <c r="I12" s="9"/>
      <c r="J12" s="9"/>
      <c r="K12" s="9"/>
      <c r="L12" s="8" t="s">
        <v>135</v>
      </c>
      <c r="M12" s="8" t="s">
        <v>136</v>
      </c>
      <c r="N12" s="9" t="s">
        <v>137</v>
      </c>
      <c r="O12" s="8" t="s">
        <v>59</v>
      </c>
      <c r="P12" s="8" t="s">
        <v>125</v>
      </c>
      <c r="Q12" s="8" t="s">
        <v>138</v>
      </c>
    </row>
    <row r="13" spans="1:17" ht="25.5" x14ac:dyDescent="0.25">
      <c r="A13" s="8" t="s">
        <v>139</v>
      </c>
      <c r="B13" s="8" t="s">
        <v>140</v>
      </c>
      <c r="C13" s="8" t="s">
        <v>141</v>
      </c>
      <c r="D13" s="8" t="s">
        <v>121</v>
      </c>
      <c r="E13" s="8">
        <v>2</v>
      </c>
      <c r="F13" s="8" t="s">
        <v>53</v>
      </c>
      <c r="G13" s="8" t="s">
        <v>54</v>
      </c>
      <c r="H13" s="8" t="s">
        <v>55</v>
      </c>
      <c r="I13" s="9"/>
      <c r="J13" s="9"/>
      <c r="K13" s="9"/>
      <c r="L13" s="8" t="s">
        <v>142</v>
      </c>
      <c r="M13" s="8" t="s">
        <v>143</v>
      </c>
      <c r="N13" s="9" t="s">
        <v>144</v>
      </c>
      <c r="O13" s="8" t="s">
        <v>59</v>
      </c>
      <c r="P13" s="8" t="s">
        <v>125</v>
      </c>
      <c r="Q13" s="8" t="s">
        <v>40</v>
      </c>
    </row>
    <row r="14" spans="1:17" ht="25.5" x14ac:dyDescent="0.25">
      <c r="A14" s="8" t="s">
        <v>145</v>
      </c>
      <c r="B14" s="8" t="s">
        <v>146</v>
      </c>
      <c r="C14" s="8" t="s">
        <v>147</v>
      </c>
      <c r="D14" s="8" t="s">
        <v>121</v>
      </c>
      <c r="E14" s="8">
        <v>2</v>
      </c>
      <c r="F14" s="8" t="s">
        <v>53</v>
      </c>
      <c r="G14" s="8" t="s">
        <v>54</v>
      </c>
      <c r="H14" s="8" t="s">
        <v>55</v>
      </c>
      <c r="I14" s="9"/>
      <c r="J14" s="9"/>
      <c r="K14" s="9"/>
      <c r="L14" s="8" t="s">
        <v>148</v>
      </c>
      <c r="M14" s="8" t="s">
        <v>149</v>
      </c>
      <c r="N14" s="9" t="s">
        <v>150</v>
      </c>
      <c r="O14" s="8" t="s">
        <v>59</v>
      </c>
      <c r="P14" s="8" t="s">
        <v>125</v>
      </c>
      <c r="Q14" s="8" t="s">
        <v>40</v>
      </c>
    </row>
    <row r="15" spans="1:17" ht="25.5" x14ac:dyDescent="0.25">
      <c r="A15" s="8" t="s">
        <v>151</v>
      </c>
      <c r="B15" s="8" t="s">
        <v>152</v>
      </c>
      <c r="C15" s="8" t="s">
        <v>153</v>
      </c>
      <c r="D15" s="8" t="s">
        <v>121</v>
      </c>
      <c r="E15" s="8">
        <v>2</v>
      </c>
      <c r="F15" s="8" t="s">
        <v>53</v>
      </c>
      <c r="G15" s="8" t="s">
        <v>54</v>
      </c>
      <c r="H15" s="8" t="s">
        <v>55</v>
      </c>
      <c r="I15" s="9"/>
      <c r="J15" s="9"/>
      <c r="K15" s="9"/>
      <c r="L15" s="8" t="s">
        <v>154</v>
      </c>
      <c r="M15" s="8" t="s">
        <v>155</v>
      </c>
      <c r="N15" s="9" t="s">
        <v>156</v>
      </c>
      <c r="O15" s="8" t="s">
        <v>59</v>
      </c>
      <c r="P15" s="8" t="s">
        <v>125</v>
      </c>
      <c r="Q15" s="8" t="s">
        <v>40</v>
      </c>
    </row>
    <row r="16" spans="1:17" ht="25.5" x14ac:dyDescent="0.25">
      <c r="A16" s="8" t="s">
        <v>157</v>
      </c>
      <c r="B16" s="8" t="s">
        <v>158</v>
      </c>
      <c r="C16" s="8" t="s">
        <v>159</v>
      </c>
      <c r="D16" s="8" t="s">
        <v>121</v>
      </c>
      <c r="E16" s="8">
        <v>2</v>
      </c>
      <c r="F16" s="8" t="s">
        <v>53</v>
      </c>
      <c r="G16" s="8" t="s">
        <v>54</v>
      </c>
      <c r="H16" s="8" t="s">
        <v>55</v>
      </c>
      <c r="I16" s="9"/>
      <c r="J16" s="9"/>
      <c r="K16" s="9"/>
      <c r="L16" s="8" t="s">
        <v>160</v>
      </c>
      <c r="M16" s="8" t="s">
        <v>161</v>
      </c>
      <c r="N16" s="9" t="s">
        <v>162</v>
      </c>
      <c r="O16" s="8" t="s">
        <v>59</v>
      </c>
      <c r="P16" s="8" t="s">
        <v>125</v>
      </c>
      <c r="Q16" s="8" t="s">
        <v>163</v>
      </c>
    </row>
    <row r="17" spans="1:17" x14ac:dyDescent="0.25">
      <c r="A17" s="6" t="s">
        <v>164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ht="25.5" x14ac:dyDescent="0.25">
      <c r="A18" s="8" t="s">
        <v>165</v>
      </c>
      <c r="B18" s="8" t="s">
        <v>166</v>
      </c>
      <c r="C18" s="8" t="s">
        <v>167</v>
      </c>
      <c r="D18" s="8" t="s">
        <v>168</v>
      </c>
      <c r="E18" s="8">
        <v>2</v>
      </c>
      <c r="F18" s="8" t="s">
        <v>53</v>
      </c>
      <c r="G18" s="8" t="s">
        <v>54</v>
      </c>
      <c r="H18" s="8" t="s">
        <v>55</v>
      </c>
      <c r="I18" s="9"/>
      <c r="J18" s="9"/>
      <c r="K18" s="9"/>
      <c r="L18" s="8" t="s">
        <v>169</v>
      </c>
      <c r="M18" s="8" t="s">
        <v>170</v>
      </c>
      <c r="N18" s="9" t="s">
        <v>171</v>
      </c>
      <c r="O18" s="8" t="s">
        <v>59</v>
      </c>
      <c r="P18" s="8" t="s">
        <v>172</v>
      </c>
      <c r="Q18" s="8" t="s">
        <v>173</v>
      </c>
    </row>
    <row r="19" spans="1:17" ht="25.5" x14ac:dyDescent="0.25">
      <c r="A19" s="8" t="s">
        <v>174</v>
      </c>
      <c r="B19" s="8" t="s">
        <v>175</v>
      </c>
      <c r="C19" s="8" t="s">
        <v>176</v>
      </c>
      <c r="D19" s="8" t="s">
        <v>168</v>
      </c>
      <c r="E19" s="8">
        <v>2</v>
      </c>
      <c r="F19" s="8" t="s">
        <v>53</v>
      </c>
      <c r="G19" s="8" t="s">
        <v>54</v>
      </c>
      <c r="H19" s="8" t="s">
        <v>55</v>
      </c>
      <c r="I19" s="9"/>
      <c r="J19" s="9"/>
      <c r="K19" s="9"/>
      <c r="L19" s="8" t="s">
        <v>177</v>
      </c>
      <c r="M19" s="8" t="s">
        <v>178</v>
      </c>
      <c r="N19" s="9" t="s">
        <v>131</v>
      </c>
      <c r="O19" s="8" t="s">
        <v>59</v>
      </c>
      <c r="P19" s="8" t="s">
        <v>172</v>
      </c>
      <c r="Q19" s="8" t="s">
        <v>40</v>
      </c>
    </row>
    <row r="20" spans="1:17" ht="38.25" x14ac:dyDescent="0.25">
      <c r="A20" s="8" t="s">
        <v>179</v>
      </c>
      <c r="B20" s="8" t="s">
        <v>180</v>
      </c>
      <c r="C20" s="8" t="s">
        <v>181</v>
      </c>
      <c r="D20" s="8" t="s">
        <v>168</v>
      </c>
      <c r="E20" s="8">
        <v>2</v>
      </c>
      <c r="F20" s="8" t="s">
        <v>53</v>
      </c>
      <c r="G20" s="8" t="s">
        <v>54</v>
      </c>
      <c r="H20" s="8" t="s">
        <v>55</v>
      </c>
      <c r="I20" s="9"/>
      <c r="J20" s="9"/>
      <c r="K20" s="9"/>
      <c r="L20" s="8" t="s">
        <v>182</v>
      </c>
      <c r="M20" s="8" t="s">
        <v>183</v>
      </c>
      <c r="N20" s="9" t="s">
        <v>184</v>
      </c>
      <c r="O20" s="8" t="s">
        <v>59</v>
      </c>
      <c r="P20" s="8" t="s">
        <v>172</v>
      </c>
      <c r="Q20" s="8" t="s">
        <v>185</v>
      </c>
    </row>
    <row r="21" spans="1:17" ht="25.5" x14ac:dyDescent="0.25">
      <c r="A21" s="8" t="s">
        <v>186</v>
      </c>
      <c r="B21" s="8" t="s">
        <v>187</v>
      </c>
      <c r="C21" s="8" t="s">
        <v>188</v>
      </c>
      <c r="D21" s="8" t="s">
        <v>168</v>
      </c>
      <c r="E21" s="8">
        <v>2</v>
      </c>
      <c r="F21" s="8" t="s">
        <v>53</v>
      </c>
      <c r="G21" s="8" t="s">
        <v>54</v>
      </c>
      <c r="H21" s="8" t="s">
        <v>55</v>
      </c>
      <c r="I21" s="9"/>
      <c r="J21" s="9"/>
      <c r="K21" s="9"/>
      <c r="L21" s="8" t="s">
        <v>189</v>
      </c>
      <c r="M21" s="8" t="s">
        <v>190</v>
      </c>
      <c r="N21" s="9" t="s">
        <v>191</v>
      </c>
      <c r="O21" s="8" t="s">
        <v>59</v>
      </c>
      <c r="P21" s="8" t="s">
        <v>172</v>
      </c>
      <c r="Q21" s="8" t="s">
        <v>40</v>
      </c>
    </row>
    <row r="22" spans="1:17" ht="38.25" x14ac:dyDescent="0.25">
      <c r="A22" s="8" t="s">
        <v>192</v>
      </c>
      <c r="B22" s="8" t="s">
        <v>193</v>
      </c>
      <c r="C22" s="8" t="s">
        <v>194</v>
      </c>
      <c r="D22" s="8" t="s">
        <v>168</v>
      </c>
      <c r="E22" s="8">
        <v>2</v>
      </c>
      <c r="F22" s="8" t="s">
        <v>53</v>
      </c>
      <c r="G22" s="8" t="s">
        <v>54</v>
      </c>
      <c r="H22" s="8" t="s">
        <v>55</v>
      </c>
      <c r="I22" s="9"/>
      <c r="J22" s="9"/>
      <c r="K22" s="9"/>
      <c r="L22" s="8" t="s">
        <v>195</v>
      </c>
      <c r="M22" s="8" t="s">
        <v>196</v>
      </c>
      <c r="N22" s="9" t="s">
        <v>197</v>
      </c>
      <c r="O22" s="8" t="s">
        <v>59</v>
      </c>
      <c r="P22" s="8" t="s">
        <v>172</v>
      </c>
      <c r="Q22" s="8" t="s">
        <v>198</v>
      </c>
    </row>
    <row r="23" spans="1:17" ht="25.5" x14ac:dyDescent="0.25">
      <c r="A23" s="8" t="s">
        <v>199</v>
      </c>
      <c r="B23" s="8" t="s">
        <v>200</v>
      </c>
      <c r="C23" s="8" t="s">
        <v>201</v>
      </c>
      <c r="D23" s="8" t="s">
        <v>168</v>
      </c>
      <c r="E23" s="8">
        <v>2</v>
      </c>
      <c r="F23" s="8" t="s">
        <v>53</v>
      </c>
      <c r="G23" s="8" t="s">
        <v>54</v>
      </c>
      <c r="H23" s="8" t="s">
        <v>55</v>
      </c>
      <c r="I23" s="9"/>
      <c r="J23" s="9"/>
      <c r="K23" s="9"/>
      <c r="L23" s="8" t="s">
        <v>202</v>
      </c>
      <c r="M23" s="8" t="s">
        <v>203</v>
      </c>
      <c r="N23" s="9" t="s">
        <v>204</v>
      </c>
      <c r="O23" s="8" t="s">
        <v>59</v>
      </c>
      <c r="P23" s="8" t="s">
        <v>172</v>
      </c>
      <c r="Q23" s="8" t="s">
        <v>40</v>
      </c>
    </row>
    <row r="24" spans="1:17" ht="25.5" x14ac:dyDescent="0.25">
      <c r="A24" s="8" t="s">
        <v>205</v>
      </c>
      <c r="B24" s="8" t="s">
        <v>206</v>
      </c>
      <c r="C24" s="8" t="s">
        <v>207</v>
      </c>
      <c r="D24" s="8" t="s">
        <v>168</v>
      </c>
      <c r="E24" s="8">
        <v>2</v>
      </c>
      <c r="F24" s="8" t="s">
        <v>53</v>
      </c>
      <c r="G24" s="8" t="s">
        <v>54</v>
      </c>
      <c r="H24" s="8" t="s">
        <v>55</v>
      </c>
      <c r="I24" s="9"/>
      <c r="J24" s="9"/>
      <c r="K24" s="9"/>
      <c r="L24" s="8" t="s">
        <v>208</v>
      </c>
      <c r="M24" s="8" t="s">
        <v>209</v>
      </c>
      <c r="N24" s="9" t="s">
        <v>144</v>
      </c>
      <c r="O24" s="8" t="s">
        <v>59</v>
      </c>
      <c r="P24" s="8" t="s">
        <v>172</v>
      </c>
      <c r="Q24" s="8" t="s">
        <v>40</v>
      </c>
    </row>
    <row r="25" spans="1:17" ht="25.5" x14ac:dyDescent="0.25">
      <c r="A25" s="8" t="s">
        <v>210</v>
      </c>
      <c r="B25" s="8" t="s">
        <v>211</v>
      </c>
      <c r="C25" s="8" t="s">
        <v>212</v>
      </c>
      <c r="D25" s="8" t="s">
        <v>168</v>
      </c>
      <c r="E25" s="8">
        <v>2</v>
      </c>
      <c r="F25" s="8" t="s">
        <v>53</v>
      </c>
      <c r="G25" s="8" t="s">
        <v>54</v>
      </c>
      <c r="H25" s="8" t="s">
        <v>55</v>
      </c>
      <c r="I25" s="9"/>
      <c r="J25" s="9"/>
      <c r="K25" s="9"/>
      <c r="L25" s="8" t="s">
        <v>213</v>
      </c>
      <c r="M25" s="8" t="s">
        <v>214</v>
      </c>
      <c r="N25" s="9" t="s">
        <v>215</v>
      </c>
      <c r="O25" s="8" t="s">
        <v>59</v>
      </c>
      <c r="P25" s="8" t="s">
        <v>172</v>
      </c>
      <c r="Q25" s="8" t="s">
        <v>216</v>
      </c>
    </row>
    <row r="26" spans="1:17" ht="25.5" x14ac:dyDescent="0.25">
      <c r="A26" s="8" t="s">
        <v>217</v>
      </c>
      <c r="B26" s="8" t="s">
        <v>218</v>
      </c>
      <c r="C26" s="8" t="s">
        <v>219</v>
      </c>
      <c r="D26" s="8" t="s">
        <v>168</v>
      </c>
      <c r="E26" s="8">
        <v>2</v>
      </c>
      <c r="F26" s="8" t="s">
        <v>53</v>
      </c>
      <c r="G26" s="8" t="s">
        <v>54</v>
      </c>
      <c r="H26" s="8" t="s">
        <v>55</v>
      </c>
      <c r="I26" s="9"/>
      <c r="J26" s="9"/>
      <c r="K26" s="9"/>
      <c r="L26" s="8" t="s">
        <v>220</v>
      </c>
      <c r="M26" s="8" t="s">
        <v>221</v>
      </c>
      <c r="N26" s="9" t="s">
        <v>131</v>
      </c>
      <c r="O26" s="8" t="s">
        <v>59</v>
      </c>
      <c r="P26" s="8" t="s">
        <v>172</v>
      </c>
      <c r="Q26" s="8" t="s">
        <v>40</v>
      </c>
    </row>
    <row r="27" spans="1:17" ht="25.5" x14ac:dyDescent="0.25">
      <c r="A27" s="8" t="s">
        <v>222</v>
      </c>
      <c r="B27" s="8" t="s">
        <v>223</v>
      </c>
      <c r="C27" s="8" t="s">
        <v>224</v>
      </c>
      <c r="D27" s="8" t="s">
        <v>168</v>
      </c>
      <c r="E27" s="8">
        <v>2</v>
      </c>
      <c r="F27" s="8" t="s">
        <v>53</v>
      </c>
      <c r="G27" s="8" t="s">
        <v>54</v>
      </c>
      <c r="H27" s="8" t="s">
        <v>55</v>
      </c>
      <c r="I27" s="9"/>
      <c r="J27" s="9"/>
      <c r="K27" s="9"/>
      <c r="L27" s="8" t="s">
        <v>225</v>
      </c>
      <c r="M27" s="8" t="s">
        <v>226</v>
      </c>
      <c r="N27" s="9" t="s">
        <v>227</v>
      </c>
      <c r="O27" s="8" t="s">
        <v>59</v>
      </c>
      <c r="P27" s="8" t="s">
        <v>172</v>
      </c>
      <c r="Q27" s="8" t="s">
        <v>40</v>
      </c>
    </row>
    <row r="29" spans="1:17" x14ac:dyDescent="0.25">
      <c r="A29" s="10" t="s">
        <v>228</v>
      </c>
    </row>
    <row r="30" spans="1:17" ht="25.5" x14ac:dyDescent="0.25">
      <c r="A30" s="11" t="s">
        <v>229</v>
      </c>
      <c r="B30" s="11" t="s">
        <v>230</v>
      </c>
      <c r="C30" s="11" t="s">
        <v>231</v>
      </c>
      <c r="D30" s="11" t="s">
        <v>103</v>
      </c>
      <c r="E30" s="11">
        <v>2</v>
      </c>
      <c r="F30" s="11" t="s">
        <v>53</v>
      </c>
      <c r="G30" s="11" t="s">
        <v>54</v>
      </c>
      <c r="H30" s="11" t="s">
        <v>55</v>
      </c>
      <c r="I30" s="11">
        <v>40</v>
      </c>
      <c r="J30" s="11">
        <v>0</v>
      </c>
      <c r="K30" s="11">
        <v>200</v>
      </c>
      <c r="L30" s="11" t="s">
        <v>232</v>
      </c>
      <c r="M30" s="11" t="s">
        <v>72</v>
      </c>
      <c r="N30" s="11" t="s">
        <v>233</v>
      </c>
      <c r="O30" s="11" t="s">
        <v>59</v>
      </c>
      <c r="P30" s="11" t="s">
        <v>105</v>
      </c>
      <c r="Q30" s="11" t="s">
        <v>234</v>
      </c>
    </row>
    <row r="33" spans="1:2" x14ac:dyDescent="0.25">
      <c r="A33" s="12" t="s">
        <v>235</v>
      </c>
    </row>
    <row r="34" spans="1:2" x14ac:dyDescent="0.25">
      <c r="A34" s="13" t="s">
        <v>236</v>
      </c>
    </row>
    <row r="35" spans="1:2" x14ac:dyDescent="0.25">
      <c r="A35" s="13" t="s">
        <v>237</v>
      </c>
    </row>
    <row r="36" spans="1:2" x14ac:dyDescent="0.25">
      <c r="A36" s="13" t="s">
        <v>238</v>
      </c>
    </row>
    <row r="37" spans="1:2" x14ac:dyDescent="0.25">
      <c r="A37" s="13" t="s">
        <v>239</v>
      </c>
    </row>
    <row r="38" spans="1:2" x14ac:dyDescent="0.25">
      <c r="A38" s="13" t="s">
        <v>240</v>
      </c>
    </row>
    <row r="39" spans="1:2" x14ac:dyDescent="0.25">
      <c r="A39" s="13" t="s">
        <v>241</v>
      </c>
    </row>
    <row r="40" spans="1:2" x14ac:dyDescent="0.25">
      <c r="A40" s="13" t="s">
        <v>242</v>
      </c>
    </row>
    <row r="43" spans="1:2" x14ac:dyDescent="0.25">
      <c r="A43" s="12" t="s">
        <v>243</v>
      </c>
    </row>
    <row r="44" spans="1:2" x14ac:dyDescent="0.25">
      <c r="A44" s="14" t="s">
        <v>244</v>
      </c>
      <c r="B44" s="14">
        <f>COUNTIF(D5:D27,"P1")</f>
        <v>3</v>
      </c>
    </row>
    <row r="45" spans="1:2" x14ac:dyDescent="0.25">
      <c r="A45" s="14" t="s">
        <v>245</v>
      </c>
      <c r="B45" s="14">
        <f>COUNTIF(D5:D27,"P2")</f>
        <v>7</v>
      </c>
    </row>
    <row r="46" spans="1:2" x14ac:dyDescent="0.25">
      <c r="A46" s="14" t="s">
        <v>246</v>
      </c>
      <c r="B46" s="14">
        <f>COUNTIF(D5:D27,"P3")</f>
        <v>10</v>
      </c>
    </row>
    <row r="47" spans="1:2" x14ac:dyDescent="0.25">
      <c r="A47" s="15" t="s">
        <v>247</v>
      </c>
      <c r="B47" s="15">
        <f>COUNTA(D5:D27)</f>
        <v>20</v>
      </c>
    </row>
  </sheetData>
  <mergeCells count="1">
    <mergeCell ref="A2:H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Arc 1 (existant)</vt:lpstr>
      <vt:lpstr>Arc 2 (à définir)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2026-07-21T10:18:07Z</dcterms:created>
  <dcterms:modified xsi:type="dcterms:W3CDTF">2026-07-21T10:51:56Z</dcterms:modified>
  <cp:category/>
</cp:coreProperties>
</file>
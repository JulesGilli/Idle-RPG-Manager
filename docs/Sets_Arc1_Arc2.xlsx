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rc 1 (existant)" state="visible" r:id="rId4"/>
    <sheet sheetId="2" name="Arc 2 (à définir)" state="visible" r:id="rId5"/>
    <sheet sheetId="3" name="Équipement divin" state="visible" r:id="rId6"/>
  </sheets>
  <calcPr calcId="171027"/>
</workbook>
</file>

<file path=xl/sharedStrings.xml><?xml version="1.0" encoding="utf-8"?>
<sst xmlns="http://schemas.openxmlformats.org/spreadsheetml/2006/main" count="362" uniqueCount="278">
  <si>
    <t>SETS — ARC 1 (état RÉEL du jeu)</t>
  </si>
  <si>
    <t>Relevé fidèle de shared/progression/sets.ts. Référence en LECTURE : c'est ce qui tourne en production.</t>
  </si>
  <si>
    <t>ID</t>
  </si>
  <si>
    <t>Nom</t>
  </si>
  <si>
    <t>Thème / rôle</t>
  </si>
  <si>
    <t>Pièces</t>
  </si>
  <si>
    <t>Slots</t>
  </si>
  <si>
    <t>Poids</t>
  </si>
  <si>
    <t>Bonus 2p ATK</t>
  </si>
  <si>
    <t>Bonus 2p DEF</t>
  </si>
  <si>
    <t>Bonus 2p PV</t>
  </si>
  <si>
    <t>Effet complet</t>
  </si>
  <si>
    <t>kind moteur</t>
  </si>
  <si>
    <t>Paramètres</t>
  </si>
  <si>
    <t>Rune ?</t>
  </si>
  <si>
    <t>Notes</t>
  </si>
  <si>
    <t>colosse</t>
  </si>
  <si>
    <t>Panoplie du Colosse</t>
  </si>
  <si>
    <t>Lourd — tank qui frappe avec sa masse de vie</t>
  </si>
  <si>
    <t>arme+armure+bijou+relique</t>
  </si>
  <si>
    <t>heavy</t>
  </si>
  <si>
    <t>+10 % des PV max en dégâts bonus à chaque attaque</t>
  </si>
  <si>
    <t>hp_strike</t>
  </si>
  <si>
    <t>value = 0.10</t>
  </si>
  <si>
    <t>Non</t>
  </si>
  <si>
    <t>Nerf 20 juil. 2026 : 20 % → 10 %.</t>
  </si>
  <si>
    <t>duelliste</t>
  </si>
  <si>
    <t>Parure du Duelliste</t>
  </si>
  <si>
    <t>Moyen / léger — deux frappes par tour</t>
  </si>
  <si>
    <t>medium, light</t>
  </si>
  <si>
    <t>Une 2e attaque chaque tour, à 60 % des dégâts</t>
  </si>
  <si>
    <t>double_strike</t>
  </si>
  <si>
    <t>mult = 0.60</t>
  </si>
  <si>
    <t/>
  </si>
  <si>
    <t>tacticien</t>
  </si>
  <si>
    <t>Atours du Tacticien</t>
  </si>
  <si>
    <t>Léger — les actifs tombent plus vite</t>
  </si>
  <si>
    <t>light</t>
  </si>
  <si>
    <t>−1 tour de cooldown sur tous les actifs</t>
  </si>
  <si>
    <t>cdr</t>
  </si>
  <si>
    <t>value = 1</t>
  </si>
  <si>
    <t>provocateur</t>
  </si>
  <si>
    <t>Parure du Provocateur</t>
  </si>
  <si>
    <t>Tank — attire le feu ennemi</t>
  </si>
  <si>
    <t>bijou+relique</t>
  </si>
  <si>
    <t>universel</t>
  </si>
  <si>
    <t>Attire les attaques ennemies</t>
  </si>
  <si>
    <t>threat</t>
  </si>
  <si>
    <t>value = 6</t>
  </si>
  <si>
    <t>Oui</t>
  </si>
  <si>
    <t>V1.1.</t>
  </si>
  <si>
    <t>ame_offerte</t>
  </si>
  <si>
    <t>Parure de l'Âme Offerte</t>
  </si>
  <si>
    <t>Soigneur offensif</t>
  </si>
  <si>
    <t>Rend 70 % du soin, convertit 20 % en dégâts</t>
  </si>
  <si>
    <t>heal_convert</t>
  </si>
  <si>
    <t>ratio = 0.20 / healRatio = 0.70</t>
  </si>
  <si>
    <t>Le MÊME kind que ton « Second Souffle » d’arc 2.</t>
  </si>
  <si>
    <t>pyromane</t>
  </si>
  <si>
    <t>Parure du Pyromane</t>
  </si>
  <si>
    <t>Feu</t>
  </si>
  <si>
    <t>+35 % de dégâts de FEU</t>
  </si>
  <si>
    <t>dmg_type_amp</t>
  </si>
  <si>
    <t>damageType = fire / value = 0.35</t>
  </si>
  <si>
    <t>empoisonneur</t>
  </si>
  <si>
    <t>Parure de l'Empoisonneur</t>
  </si>
  <si>
    <t>Poison</t>
  </si>
  <si>
    <t>+35 % de dégâts de POISON</t>
  </si>
  <si>
    <t>damageType = poison / value = 0.35</t>
  </si>
  <si>
    <t>arcaniste</t>
  </si>
  <si>
    <t>Parure de l'Arcaniste</t>
  </si>
  <si>
    <t>Arcane</t>
  </si>
  <si>
    <t>+35 % de dégâts ARCANIQUES</t>
  </si>
  <si>
    <t>damageType = arcane / value = 0.35</t>
  </si>
  <si>
    <t>brute</t>
  </si>
  <si>
    <t>Parure de la Brute</t>
  </si>
  <si>
    <t>Physique</t>
  </si>
  <si>
    <t>+35 % de dégâts PHYSIQUES</t>
  </si>
  <si>
    <t>damageType = physical / value = 0.35</t>
  </si>
  <si>
    <t>⚠️ Ces 9 sets sont réservés à l'ARC 1 : en arc 2 ils disparaissent du catalogue de forge (setPieceWrongArc).</t>
  </si>
  <si>
    <t>SETS — ARC 2</t>
  </si>
  <si>
    <t>Ta colonne « Effet » fait FOI, je m'y aligne. J'ai rempli le kind moteur, les paramètres et la FAISABILITÉ. Vert = data pure. Rouge = demande du code moteur. Jaune = à toi.</t>
  </si>
  <si>
    <t>Palier</t>
  </si>
  <si>
    <t>Effet — TA description</t>
  </si>
  <si>
    <t>Paramètres proposés</t>
  </si>
  <si>
    <t>Faisable ?</t>
  </si>
  <si>
    <t>Ce qui manque / à trancher</t>
  </si>
  <si>
    <t>PALIER 1 — SOCLE (craft facile)</t>
  </si>
  <si>
    <t>a2_physique</t>
  </si>
  <si>
    <t>Fer de Lance</t>
  </si>
  <si>
    <t>P1</t>
  </si>
  <si>
    <t>20 % de dégâts PHYSIQUES</t>
  </si>
  <si>
    <t>damageType = 'physical' / value = 0.20</t>
  </si>
  <si>
    <t>Data pure</t>
  </si>
  <si>
    <t>a2_magique</t>
  </si>
  <si>
    <t>Verbe Ancien</t>
  </si>
  <si>
    <t>20 % de dégâts MAGIQUE</t>
  </si>
  <si>
    <t>damageType = 'arcane' / value = 0.20</t>
  </si>
  <si>
    <t>Partiel</t>
  </si>
  <si>
    <t>Il n'existe pas de type « magique » : les types sont physical / fire / poison / arcane. J'ai mis arcane — sinon il faut 3 lignes (feu+poison+arcane) ou créer un type.</t>
  </si>
  <si>
    <t>a2_soin</t>
  </si>
  <si>
    <t>Main Secourable</t>
  </si>
  <si>
    <t>20 % de soins prodigués</t>
  </si>
  <si>
    <t>heal_amp</t>
  </si>
  <si>
    <t>bonus = 0.20</t>
  </si>
  <si>
    <t>PALIER 2 — SPÉCIALISATION (craft moyen)</t>
  </si>
  <si>
    <t>a2_charognard</t>
  </si>
  <si>
    <t>Charognard</t>
  </si>
  <si>
    <t>P2</t>
  </si>
  <si>
    <t>20 % de dégâts contre une cible déjà sous statut (faiblesse, enflammé, empoisonné)</t>
  </si>
  <si>
    <t>amp_vs_status ×3</t>
  </si>
  <si>
    <t>3 abilités : status = 'weaken' | 'burn' | 'poison', bonus = 0.20</t>
  </si>
  <si>
    <t>Le kind ne prend qu'UN statut : le set en portera trois. Sans effet cumulé (un ennemi enflammé ET empoisonné ne prend pas +40 %) — à confirmer.</t>
  </si>
  <si>
    <t>a2_brisegarde</t>
  </si>
  <si>
    <t>Brise-Garde</t>
  </si>
  <si>
    <t>Ignore 20 % de la DEF adverse</t>
  </si>
  <si>
    <t>armor_pen</t>
  </si>
  <si>
    <t>value = 0.20</t>
  </si>
  <si>
    <t>a2_volee</t>
  </si>
  <si>
    <t>Volée</t>
  </si>
  <si>
    <t>50 % de toucher une cible supplémentaire</t>
  </si>
  <si>
    <t>multi_shot</t>
  </si>
  <si>
    <t>chance = 0.50 / extraTargets = 1</t>
  </si>
  <si>
    <t>Très fort en 10v10 (champs de bataille) : à surveiller.</t>
  </si>
  <si>
    <t>a2_epines</t>
  </si>
  <si>
    <t>Épines</t>
  </si>
  <si>
    <t>Riposte quand le héros esquive</t>
  </si>
  <si>
    <t>riposte_dodge</t>
  </si>
  <si>
    <t>bonus = 1.20 (120 % ATK)</t>
  </si>
  <si>
    <t>a2_rempart</t>
  </si>
  <si>
    <t>Rempart</t>
  </si>
  <si>
    <t>−50 % d'armure, la stat est ajoutée à l'attaque</t>
  </si>
  <si>
    <t>AUCUN</t>
  </si>
  <si>
    <t>à créer</t>
  </si>
  <si>
    <t>MOTEUR requis</t>
  </si>
  <si>
    <t>Aucun kind ne convertit une stat en une autre. Demande du code moteur. Question de design : conversion de la DEF de BASE ou de la DEF totale (équipement inclus) ? Les deux donnent des résultats très différents.</t>
  </si>
  <si>
    <t>a2_souffle</t>
  </si>
  <si>
    <t>Second Souffle</t>
  </si>
  <si>
    <t>Ne soigne plus mais brûle divinement les ennemis à hauteur de 70 % du heal de base</t>
  </si>
  <si>
    <t>ratio = 0.70 / healRatio = 0</t>
  </si>
  <si>
    <t>Le kind existe déjà (c'est l'Âme Offerte d'arc 1). healRatio = 0 supprime tout le soin, ratio = 0.70 le convertit en dégâts.</t>
  </si>
  <si>
    <t>a2_sentinelle</t>
  </si>
  <si>
    <t>Sentinelle</t>
  </si>
  <si>
    <t>Accumule les dégâts subis pour renvoyer une attaque à hauteur de 100 % des dégâts subis sur les deux tours précédents (4 tours de cooldown)</t>
  </si>
  <si>
    <t>riposte_shield existe mais se déclenche sur bris de barrière, pas sur une accumulation. Demande une mémoire des dégâts sur N tours + un cooldown : code moteur.</t>
  </si>
  <si>
    <t>PALIER 3 — SIGNATURE (craft difficile)</t>
  </si>
  <si>
    <t>a2_charnier</t>
  </si>
  <si>
    <t>Charnier</t>
  </si>
  <si>
    <t>P3</t>
  </si>
  <si>
    <t>Augmente de 1 le nombre de héros-squelettes ou créatures mortuaires invocables</t>
  </si>
  <si>
    <t>summon_pool</t>
  </si>
  <si>
    <t>count += 1</t>
  </si>
  <si>
    <t>summon_pool définit un pool ABSOLU (count + templates), il ne sait pas « +1 » par-dessus un autre effet. Faisable, mais demande un modificateur.</t>
  </si>
  <si>
    <t>a2_rituel</t>
  </si>
  <si>
    <t>Rituel d'Os</t>
  </si>
  <si>
    <t>Armés de givre, tous les invoqués ont 10 % de chance d’affaiblir les ennemis sur leurs attaques</t>
  </si>
  <si>
    <t>on_hit (status 'weaken')</t>
  </si>
  <si>
    <t>chance = 0.10 / status = weaken</t>
  </si>
  <si>
    <t>Le kind existe, mais il s'applique au PORTEUR. Le cibler sur les INVOCATIONS demande du moteur.</t>
  </si>
  <si>
    <t>a2_pacte</t>
  </si>
  <si>
    <t>Pacte de Sang</t>
  </si>
  <si>
    <t>Frappe 1 % plus fort par % de PV manquant et s'inflige 15 % des dégâts infligés aux ennemis</t>
  </si>
  <si>
    <t>Deux mécaniques neuves : scaling sur les PV manquants, et auto-dégâts proportionnels. C'est la ligne la plus coûteuse du tableau.</t>
  </si>
  <si>
    <t>a2_contagion</t>
  </si>
  <si>
    <t>Contagion</t>
  </si>
  <si>
    <t>Les DoT ont 100 % de chance de se propager aux ennemis voisins (+1 ennemi)</t>
  </si>
  <si>
    <t>contagion</t>
  </si>
  <si>
    <t>chance = 1.0</t>
  </si>
  <si>
    <t>100 % est très fort : la propagation devient systématique.</t>
  </si>
  <si>
    <t>a2_venin</t>
  </si>
  <si>
    <t>Venin Profond</t>
  </si>
  <si>
    <t>Double le nombre de DoT empilables (si c'est 5 il passe à 10, si c'est 12 il passe à 24)</t>
  </si>
  <si>
    <t>stack_on_hit (max)</t>
  </si>
  <si>
    <t>max ×2</t>
  </si>
  <si>
    <t>`max` existe bien sur stack_on_hit, mais c'est une valeur ABSOLUE posée par la source du DoT. Un set qui DOUBLE un plafond venu d'ailleurs demande un modificateur : code moteur.</t>
  </si>
  <si>
    <t>a2_detonation</t>
  </si>
  <si>
    <t>Détonation</t>
  </si>
  <si>
    <t>Consomme les stacks pour un gros coup (+20 % de dégâts par stack retiré) à hauteur de 100 % de l'ATK</t>
  </si>
  <si>
    <t>detonate</t>
  </si>
  <si>
    <t>dmgMult = 0.20 par stack / threshold = ?</t>
  </si>
  <si>
    <t>Le kind explose à un SEUIL fixe. Ta version consomme tout et scale par stack : proche, mais à ajuster. Précise le seuil de déclenchement.</t>
  </si>
  <si>
    <t>a2_derniercri</t>
  </si>
  <si>
    <t>Dernier Cri</t>
  </si>
  <si>
    <t>Explose en mourant et blesse les ennemis à hauteur de 100 % des PV max du héros</t>
  </si>
  <si>
    <t>explode_on_death</t>
  </si>
  <si>
    <t>hpFrac = 1.0</t>
  </si>
  <si>
    <t>100 % des PV max est énorme sur un tank : à surveiller.</t>
  </si>
  <si>
    <t>a2_serment</t>
  </si>
  <si>
    <t>Serment</t>
  </si>
  <si>
    <t>Lie tous les ennemis que le héros tape ; chaque ennemi lié subit 20 % des dégâts subis par les autres ennemis liés</t>
  </si>
  <si>
    <t>Mécanique de lien/partage de dégâts inexistante. Attention à la boucle : A renvoie à B qui renvoie à A. Il faudra un garde-fou (les dégâts de lien ne se re-propagent pas).</t>
  </si>
  <si>
    <t>a2_ralliement</t>
  </si>
  <si>
    <t>Cri de Ralliement</t>
  </si>
  <si>
    <t>Gambling : attaque augmentée de 150 % mais 20 % de chance de taper un membre de l'équipe</t>
  </si>
  <si>
    <t>Le tir allié n'existe pas dans le moteur (il cible toujours le camp adverse). Demande du code.</t>
  </si>
  <si>
    <t>a2_echo</t>
  </si>
  <si>
    <t>Écho</t>
  </si>
  <si>
    <t>Augmente les dégâts des DoT (+30 % poison, feu)</t>
  </si>
  <si>
    <t>dot_amp ×2</t>
  </si>
  <si>
    <t>2 abilités : status = 'poison' puis 'burn', bonus = 0.30</t>
  </si>
  <si>
    <t>Le nom « Écho » ne colle plus à l’effet (c’était une relance de compétence) — à renommer ?</t>
  </si>
  <si>
    <t>LÉGENDE</t>
  </si>
  <si>
    <t>• Colonne « Effet » = TA description, recopiée telle quelle. C’est elle qui fait foi ; j’ai aligné le reste dessus.</t>
  </si>
  <si>
    <t>• Faisable ? VERT = une ligne de data, je peux le coder tout de suite. ORANGE = le kind existe mais ne couvre pas tout. ROUGE = il faut écrire du moteur.</t>
  </si>
  <si>
    <t>• Cellules JAUNES (Bonus 2p ATK/DEF/PV) = à toi : les stats brutes que donnent les 2 pièces, en plus de l’effet.</t>
  </si>
  <si>
    <t>• Bilan : 8 sets en data pure, 4 partiels, 6 qui demandent du moteur. Les 6 rouges sont les plus intéressants — c’est normal, ce sont les plus originaux.</t>
  </si>
  <si>
    <t>• Deux questions ouvertes signalées dans la dernière colonne : le type « magique » (inexistant) et le seuil de Détonation.</t>
  </si>
  <si>
    <t>Sets data pure</t>
  </si>
  <si>
    <t>Sets partiels</t>
  </si>
  <si>
    <t>Sets à coder (moteur)</t>
  </si>
  <si>
    <t>TOTAL sets Arc 2</t>
  </si>
  <si>
    <t>ÉQUIPEMENT DIVIN — Forge Sacrée (Arc 2)</t>
  </si>
  <si>
    <t>L'objet divin est un ULTIME dopé qui porte EN PLUS l'effet d'une gemme. Il n'occupe que l'ARME et l'ARMURE — bijou et relique restent aux sets. Cellules jaunes = à toi.</t>
  </si>
  <si>
    <t>Élément</t>
  </si>
  <si>
    <t>Valeur actuelle</t>
  </si>
  <si>
    <t>Ce que ça fait</t>
  </si>
  <si>
    <t>À ajuster ?</t>
  </si>
  <si>
    <t>Prime de stats</t>
  </si>
  <si>
    <t>+20 %</t>
  </si>
  <si>
    <t>Stats d'un ultime du même modèle et de la même zone, majorées de 20 %. Puis multipliées par le tier de l'arc (×16 en arc 2).</t>
  </si>
  <si>
    <t>DIVINE_STAT_MULT</t>
  </si>
  <si>
    <t>Slots concernés</t>
  </si>
  <si>
    <t>Arme + Armure</t>
  </si>
  <si>
    <t>Les seuls forgeables en divin. Bijou et relique sont réservés aux sets d'arc 2 (2 pièces) — c'est ce qui permet aux deux systèmes de coexister.</t>
  </si>
  <si>
    <t>Décidé, cohérent avec les sets</t>
  </si>
  <si>
    <t>Coût — ARME</t>
  </si>
  <si>
    <t>3 Éclats sacrés</t>
  </si>
  <si>
    <t>Éclat sacré = classement hebdo du World Boss. 3 = la part du 5e, donc le top 5 forge une arme par semaine. Hors top 10 : jamais.</t>
  </si>
  <si>
    <t>Monnaie de COMPÉTITION</t>
  </si>
  <si>
    <t>Coût — ARMURE</t>
  </si>
  <si>
    <t>40 Poussières bénies</t>
  </si>
  <si>
    <t>Poussière bénie = champs de bataille, jusqu’à 12/jour. 40 vise ~3-4 jours au dernier palier, ~10 jours en milieu de tableau.</t>
  </si>
  <si>
    <t>Monnaie d'EFFORT — dis si c'est trop long</t>
  </si>
  <si>
    <t>Autres ingrédients</t>
  </si>
  <si>
    <t>Zone + 1 gemme</t>
  </si>
  <si>
    <t>Le matériau de zone fixe les stats de base ; la gemme donne l'effet. Pas d'essence de boss : la gemme la remplace.</t>
  </si>
  <si>
    <t>Rareté stockée</t>
  </si>
  <si>
    <t>ultimate</t>
  </si>
  <si>
    <t>Le divin n'est PAS une rareté de plus : c'est un ultime dopé, préfixé ✦, qui porte un passif de gemme.</t>
  </si>
  <si>
    <t>Éviter une 6e rareté</t>
  </si>
  <si>
    <t>LES 10 GEMMES — c’est la gemme qui donne son EFFET à l’objet divin</t>
  </si>
  <si>
    <t>Gemme</t>
  </si>
  <si>
    <t>Passif</t>
  </si>
  <si>
    <t>Plafond (%)</t>
  </si>
  <si>
    <t>Épithète du nom</t>
  </si>
  <si>
    <t>Gemme de Sève</t>
  </si>
  <si>
    <t>Régénération</t>
  </si>
  <si>
    <t>de Sève</t>
  </si>
  <si>
    <t>Gemme de Glace</t>
  </si>
  <si>
    <t>Égide</t>
  </si>
  <si>
    <t>d'Égide</t>
  </si>
  <si>
    <t>Gemme Solaire</t>
  </si>
  <si>
    <t>Critique</t>
  </si>
  <si>
    <t>de Précision</t>
  </si>
  <si>
    <t>Gemme de Venin</t>
  </si>
  <si>
    <t>Venin</t>
  </si>
  <si>
    <t>du Serpent</t>
  </si>
  <si>
    <t>Gemme de Braise</t>
  </si>
  <si>
    <t>Fureur</t>
  </si>
  <si>
    <t>de Fureur</t>
  </si>
  <si>
    <t>Gemme Runique</t>
  </si>
  <si>
    <t>des Épines</t>
  </si>
  <si>
    <t>Gemme Abyssale</t>
  </si>
  <si>
    <t>Vampirisme</t>
  </si>
  <si>
    <t>du Vampire</t>
  </si>
  <si>
    <t>Gemme d'Orage</t>
  </si>
  <si>
    <t>Foudre</t>
  </si>
  <si>
    <t>de Foudre</t>
  </si>
  <si>
    <t>Gemme d'Ombre</t>
  </si>
  <si>
    <t>Esquive</t>
  </si>
  <si>
    <t>du Spectre</t>
  </si>
  <si>
    <t>Gemme Astrale</t>
  </si>
  <si>
    <t>Exécution</t>
  </si>
  <si>
    <t>du Bourreau</t>
  </si>
  <si>
    <t>• L'objet divin porte le passif de la gemme À SON PLAFOND : un objet de fin de partie ne rogne pas sur sa gemme.</t>
  </si>
  <si>
    <t>• En arc 2 les gemmes ont des jumelles (Gemme de Sève noire, etc.) : même passif, même plafond. Un arc apporte des STATS, pas des passifs plus gros.</t>
  </si>
  <si>
    <t>• CUMUL À SURVEILLER : un héros éveillé peut porter gemme d'arme + gemme d'armure + effet de set + effet de rune = QUATRE effets empilés.</t>
  </si>
  <si>
    <t>• Les 11 modèles forgeables : grande épée, marteau (lourd) · épée, faux (moyen) · arc, dague, sceptre, bâton (léger) · plaques, mailles, tunique (armures).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</si>
</sst>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 x14ac:knownFonts="1">
    <font>
      <color theme="1"/>
      <family val="2"/>
      <scheme val="minor"/>
      <sz val="11"/>
      <name val="Calibri"/>
    </font>
    <font>
      <b/>
      <color rgb="FF1F3864"/>
      <sz val="14"/>
      <name val="Arial"/>
    </font>
    <font>
      <i/>
      <color rgb="FF595959"/>
      <sz val="9"/>
      <name val="Arial"/>
    </font>
    <font>
      <b/>
      <color rgb="FFFFFFFF"/>
      <sz val="10"/>
      <name val="Arial"/>
    </font>
    <font>
      <i/>
      <color rgb="FF595959"/>
      <sz val="10"/>
      <name val="Arial"/>
    </font>
    <font>
      <color rgb="FFC00000"/>
      <sz val="9"/>
      <name val="Arial"/>
    </font>
    <font>
      <b/>
      <color rgb="FF1F3864"/>
      <sz val="10"/>
      <name val="Arial"/>
    </font>
    <font>
      <sz val="10"/>
      <name val="Arial"/>
    </font>
    <font>
      <b/>
      <sz val="10"/>
      <name val="Arial"/>
    </font>
    <font>
      <b/>
      <color rgb="FF1F3864"/>
      <sz val="11"/>
      <name val="Arial"/>
    </font>
    <font>
      <sz val="9"/>
      <name val="Arial"/>
    </font>
  </fonts>
  <fills count="8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DDEBF7"/>
      </patternFill>
    </fill>
    <fill>
      <patternFill patternType="solid">
        <fgColor rgb="FFE2EFDA"/>
      </patternFill>
    </fill>
    <fill>
      <patternFill patternType="solid">
        <fgColor rgb="FFFFFF00"/>
      </patternFill>
    </fill>
    <fill>
      <patternFill patternType="solid">
        <fgColor rgb="FFFFF2CC"/>
      </patternFill>
    </fill>
    <fill>
      <patternFill patternType="solid">
        <fgColor rgb="FFFCE4E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top" wrapText="1"/>
    </xf>
    <xf numFmtId="0" fontId="5" fillId="0" borderId="0" xfId="0" applyFont="1"/>
    <xf numFmtId="0" fontId="6" fillId="3" borderId="1" xfId="0" applyFont="1" applyFill="1" applyBorder="1"/>
    <xf numFmtId="0" fontId="0" fillId="3" borderId="1" xfId="0" applyFill="1" applyBorder="1"/>
    <xf numFmtId="0" fontId="7" fillId="0" borderId="1" xfId="0" applyFont="1" applyBorder="1" applyAlignment="1">
      <alignment vertical="top" wrapText="1"/>
    </xf>
    <xf numFmtId="0" fontId="8" fillId="4" borderId="1" xfId="0" applyFont="1" applyFill="1" applyBorder="1" applyAlignment="1">
      <alignment vertical="top" wrapText="1"/>
    </xf>
    <xf numFmtId="0" fontId="7" fillId="5" borderId="1" xfId="0" applyFont="1" applyFill="1" applyBorder="1" applyAlignment="1">
      <alignment vertical="top" wrapText="1"/>
    </xf>
    <xf numFmtId="0" fontId="8" fillId="6" borderId="1" xfId="0" applyFont="1" applyFill="1" applyBorder="1" applyAlignment="1">
      <alignment vertical="top" wrapText="1"/>
    </xf>
    <xf numFmtId="0" fontId="8" fillId="7" borderId="1" xfId="0" applyFont="1" applyFill="1" applyBorder="1" applyAlignment="1">
      <alignment vertical="top" wrapText="1"/>
    </xf>
    <xf numFmtId="0" fontId="9" fillId="0" borderId="0" xfId="0" applyFont="1"/>
    <xf numFmtId="0" fontId="10" fillId="0" borderId="0" xfId="0" applyFont="1"/>
    <xf numFmtId="0" fontId="8" fillId="0" borderId="0" xfId="0" applyFont="1"/>
    <xf numFmtId="0" fontId="3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5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6" customWidth="1"/>
    <col min="3" max="3" width="34" customWidth="1"/>
    <col min="4" max="4" width="8" customWidth="1"/>
    <col min="5" max="5" width="22" customWidth="1"/>
    <col min="6" max="6" width="15" customWidth="1"/>
    <col min="7" max="9" width="12" customWidth="1"/>
    <col min="10" max="10" width="46" customWidth="1"/>
    <col min="11" max="11" width="18" customWidth="1"/>
    <col min="12" max="12" width="26" customWidth="1"/>
    <col min="13" max="13" width="8" customWidth="1"/>
    <col min="14" max="14" width="34" customWidth="1"/>
  </cols>
  <sheetData>
    <row r="1" spans="1:1" x14ac:dyDescent="0.25">
      <c r="A1" s="1" t="s">
        <v>0</v>
      </c>
    </row>
    <row r="2" ht="30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4" ht="30" customHeight="1" spans="1:14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spans="1:14" x14ac:dyDescent="0.25">
      <c r="A5" s="4" t="s">
        <v>16</v>
      </c>
      <c r="B5" s="4" t="s">
        <v>17</v>
      </c>
      <c r="C5" s="4" t="s">
        <v>18</v>
      </c>
      <c r="D5" s="4">
        <v>4</v>
      </c>
      <c r="E5" s="4" t="s">
        <v>19</v>
      </c>
      <c r="F5" s="4" t="s">
        <v>20</v>
      </c>
      <c r="G5" s="4">
        <v>0</v>
      </c>
      <c r="H5" s="4">
        <v>0</v>
      </c>
      <c r="I5" s="4">
        <v>250</v>
      </c>
      <c r="J5" s="4" t="s">
        <v>21</v>
      </c>
      <c r="K5" s="4" t="s">
        <v>22</v>
      </c>
      <c r="L5" s="4" t="s">
        <v>23</v>
      </c>
      <c r="M5" s="4" t="s">
        <v>24</v>
      </c>
      <c r="N5" s="4" t="s">
        <v>25</v>
      </c>
    </row>
    <row r="6" spans="1:14" x14ac:dyDescent="0.25">
      <c r="A6" s="4" t="s">
        <v>26</v>
      </c>
      <c r="B6" s="4" t="s">
        <v>27</v>
      </c>
      <c r="C6" s="4" t="s">
        <v>28</v>
      </c>
      <c r="D6" s="4">
        <v>4</v>
      </c>
      <c r="E6" s="4" t="s">
        <v>19</v>
      </c>
      <c r="F6" s="4" t="s">
        <v>29</v>
      </c>
      <c r="G6" s="4">
        <v>40</v>
      </c>
      <c r="H6" s="4">
        <v>0</v>
      </c>
      <c r="I6" s="4">
        <v>0</v>
      </c>
      <c r="J6" s="4" t="s">
        <v>30</v>
      </c>
      <c r="K6" s="4" t="s">
        <v>31</v>
      </c>
      <c r="L6" s="4" t="s">
        <v>32</v>
      </c>
      <c r="M6" s="4" t="s">
        <v>24</v>
      </c>
      <c r="N6" s="4" t="s">
        <v>33</v>
      </c>
    </row>
    <row r="7" spans="1:14" x14ac:dyDescent="0.25">
      <c r="A7" s="4" t="s">
        <v>34</v>
      </c>
      <c r="B7" s="4" t="s">
        <v>35</v>
      </c>
      <c r="C7" s="4" t="s">
        <v>36</v>
      </c>
      <c r="D7" s="4">
        <v>4</v>
      </c>
      <c r="E7" s="4" t="s">
        <v>19</v>
      </c>
      <c r="F7" s="4" t="s">
        <v>37</v>
      </c>
      <c r="G7" s="4">
        <v>30</v>
      </c>
      <c r="H7" s="4">
        <v>0</v>
      </c>
      <c r="I7" s="4">
        <v>0</v>
      </c>
      <c r="J7" s="4" t="s">
        <v>38</v>
      </c>
      <c r="K7" s="4" t="s">
        <v>39</v>
      </c>
      <c r="L7" s="4" t="s">
        <v>40</v>
      </c>
      <c r="M7" s="4" t="s">
        <v>24</v>
      </c>
      <c r="N7" s="4" t="s">
        <v>33</v>
      </c>
    </row>
    <row r="8" spans="1:14" x14ac:dyDescent="0.25">
      <c r="A8" s="4" t="s">
        <v>41</v>
      </c>
      <c r="B8" s="4" t="s">
        <v>42</v>
      </c>
      <c r="C8" s="4" t="s">
        <v>43</v>
      </c>
      <c r="D8" s="4">
        <v>2</v>
      </c>
      <c r="E8" s="4" t="s">
        <v>44</v>
      </c>
      <c r="F8" s="4" t="s">
        <v>45</v>
      </c>
      <c r="G8" s="4">
        <v>0</v>
      </c>
      <c r="H8" s="4">
        <v>30</v>
      </c>
      <c r="I8" s="4">
        <v>150</v>
      </c>
      <c r="J8" s="4" t="s">
        <v>46</v>
      </c>
      <c r="K8" s="4" t="s">
        <v>47</v>
      </c>
      <c r="L8" s="4" t="s">
        <v>48</v>
      </c>
      <c r="M8" s="4" t="s">
        <v>49</v>
      </c>
      <c r="N8" s="4" t="s">
        <v>50</v>
      </c>
    </row>
    <row r="9" spans="1:14" x14ac:dyDescent="0.25">
      <c r="A9" s="4" t="s">
        <v>51</v>
      </c>
      <c r="B9" s="4" t="s">
        <v>52</v>
      </c>
      <c r="C9" s="4" t="s">
        <v>53</v>
      </c>
      <c r="D9" s="4">
        <v>2</v>
      </c>
      <c r="E9" s="4" t="s">
        <v>44</v>
      </c>
      <c r="F9" s="4" t="s">
        <v>45</v>
      </c>
      <c r="G9" s="4">
        <v>25</v>
      </c>
      <c r="H9" s="4">
        <v>0</v>
      </c>
      <c r="I9" s="4">
        <v>100</v>
      </c>
      <c r="J9" s="4" t="s">
        <v>54</v>
      </c>
      <c r="K9" s="4" t="s">
        <v>55</v>
      </c>
      <c r="L9" s="4" t="s">
        <v>56</v>
      </c>
      <c r="M9" s="4" t="s">
        <v>49</v>
      </c>
      <c r="N9" s="4" t="s">
        <v>57</v>
      </c>
    </row>
    <row r="10" spans="1:14" x14ac:dyDescent="0.25">
      <c r="A10" s="4" t="s">
        <v>58</v>
      </c>
      <c r="B10" s="4" t="s">
        <v>59</v>
      </c>
      <c r="C10" s="4" t="s">
        <v>60</v>
      </c>
      <c r="D10" s="4">
        <v>2</v>
      </c>
      <c r="E10" s="4" t="s">
        <v>44</v>
      </c>
      <c r="F10" s="4" t="s">
        <v>45</v>
      </c>
      <c r="G10" s="4">
        <v>30</v>
      </c>
      <c r="H10" s="4">
        <v>0</v>
      </c>
      <c r="I10" s="4">
        <v>0</v>
      </c>
      <c r="J10" s="4" t="s">
        <v>61</v>
      </c>
      <c r="K10" s="4" t="s">
        <v>62</v>
      </c>
      <c r="L10" s="4" t="s">
        <v>63</v>
      </c>
      <c r="M10" s="4" t="s">
        <v>49</v>
      </c>
      <c r="N10" s="4" t="s">
        <v>50</v>
      </c>
    </row>
    <row r="11" spans="1:14" x14ac:dyDescent="0.25">
      <c r="A11" s="4" t="s">
        <v>64</v>
      </c>
      <c r="B11" s="4" t="s">
        <v>65</v>
      </c>
      <c r="C11" s="4" t="s">
        <v>66</v>
      </c>
      <c r="D11" s="4">
        <v>2</v>
      </c>
      <c r="E11" s="4" t="s">
        <v>44</v>
      </c>
      <c r="F11" s="4" t="s">
        <v>45</v>
      </c>
      <c r="G11" s="4">
        <v>30</v>
      </c>
      <c r="H11" s="4">
        <v>0</v>
      </c>
      <c r="I11" s="4">
        <v>0</v>
      </c>
      <c r="J11" s="4" t="s">
        <v>67</v>
      </c>
      <c r="K11" s="4" t="s">
        <v>62</v>
      </c>
      <c r="L11" s="4" t="s">
        <v>68</v>
      </c>
      <c r="M11" s="4" t="s">
        <v>49</v>
      </c>
      <c r="N11" s="4" t="s">
        <v>50</v>
      </c>
    </row>
    <row r="12" spans="1:14" x14ac:dyDescent="0.25">
      <c r="A12" s="4" t="s">
        <v>69</v>
      </c>
      <c r="B12" s="4" t="s">
        <v>70</v>
      </c>
      <c r="C12" s="4" t="s">
        <v>71</v>
      </c>
      <c r="D12" s="4">
        <v>2</v>
      </c>
      <c r="E12" s="4" t="s">
        <v>44</v>
      </c>
      <c r="F12" s="4" t="s">
        <v>45</v>
      </c>
      <c r="G12" s="4">
        <v>30</v>
      </c>
      <c r="H12" s="4">
        <v>0</v>
      </c>
      <c r="I12" s="4">
        <v>0</v>
      </c>
      <c r="J12" s="4" t="s">
        <v>72</v>
      </c>
      <c r="K12" s="4" t="s">
        <v>62</v>
      </c>
      <c r="L12" s="4" t="s">
        <v>73</v>
      </c>
      <c r="M12" s="4" t="s">
        <v>49</v>
      </c>
      <c r="N12" s="4" t="s">
        <v>50</v>
      </c>
    </row>
    <row r="13" spans="1:14" x14ac:dyDescent="0.25">
      <c r="A13" s="4" t="s">
        <v>74</v>
      </c>
      <c r="B13" s="4" t="s">
        <v>75</v>
      </c>
      <c r="C13" s="4" t="s">
        <v>76</v>
      </c>
      <c r="D13" s="4">
        <v>2</v>
      </c>
      <c r="E13" s="4" t="s">
        <v>44</v>
      </c>
      <c r="F13" s="4" t="s">
        <v>45</v>
      </c>
      <c r="G13" s="4">
        <v>30</v>
      </c>
      <c r="H13" s="4">
        <v>0</v>
      </c>
      <c r="I13" s="4">
        <v>0</v>
      </c>
      <c r="J13" s="4" t="s">
        <v>77</v>
      </c>
      <c r="K13" s="4" t="s">
        <v>62</v>
      </c>
      <c r="L13" s="4" t="s">
        <v>78</v>
      </c>
      <c r="M13" s="4" t="s">
        <v>49</v>
      </c>
      <c r="N13" s="4" t="s">
        <v>50</v>
      </c>
    </row>
    <row r="15" spans="1:1" x14ac:dyDescent="0.25">
      <c r="A15" s="5" t="s">
        <v>79</v>
      </c>
    </row>
  </sheetData>
  <mergeCells count="1"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40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16" customWidth="1"/>
    <col min="2" max="2" width="22" customWidth="1"/>
    <col min="3" max="3" width="8" customWidth="1"/>
    <col min="4" max="4" width="62" customWidth="1"/>
    <col min="5" max="5" width="22" customWidth="1"/>
    <col min="6" max="6" width="34" customWidth="1"/>
    <col min="7" max="7" width="13" customWidth="1"/>
    <col min="8" max="8" width="46" customWidth="1"/>
    <col min="9" max="11" width="12" customWidth="1"/>
  </cols>
  <sheetData>
    <row r="1" spans="1:1" x14ac:dyDescent="0.25">
      <c r="A1" s="1" t="s">
        <v>80</v>
      </c>
    </row>
    <row r="2" ht="30" customHeight="1" spans="1:8" x14ac:dyDescent="0.25">
      <c r="A2" s="2" t="s">
        <v>81</v>
      </c>
      <c r="B2" s="2"/>
      <c r="C2" s="2"/>
      <c r="D2" s="2"/>
      <c r="E2" s="2"/>
      <c r="F2" s="2"/>
      <c r="G2" s="2"/>
      <c r="H2" s="2"/>
    </row>
    <row r="4" ht="30" customHeight="1" spans="1:11" x14ac:dyDescent="0.25">
      <c r="A4" s="3" t="s">
        <v>2</v>
      </c>
      <c r="B4" s="3" t="s">
        <v>3</v>
      </c>
      <c r="C4" s="3" t="s">
        <v>82</v>
      </c>
      <c r="D4" s="3" t="s">
        <v>83</v>
      </c>
      <c r="E4" s="3" t="s">
        <v>12</v>
      </c>
      <c r="F4" s="3" t="s">
        <v>84</v>
      </c>
      <c r="G4" s="3" t="s">
        <v>85</v>
      </c>
      <c r="H4" s="3" t="s">
        <v>86</v>
      </c>
      <c r="I4" s="3" t="s">
        <v>8</v>
      </c>
      <c r="J4" s="3" t="s">
        <v>9</v>
      </c>
      <c r="K4" s="3" t="s">
        <v>10</v>
      </c>
    </row>
    <row r="5" spans="1:11" x14ac:dyDescent="0.25">
      <c r="A5" s="6" t="s">
        <v>87</v>
      </c>
      <c r="B5" s="7"/>
      <c r="C5" s="7"/>
      <c r="D5" s="7"/>
      <c r="E5" s="7"/>
      <c r="F5" s="7"/>
      <c r="G5" s="7"/>
      <c r="H5" s="7"/>
      <c r="I5" s="7"/>
      <c r="J5" s="7"/>
      <c r="K5" s="7"/>
    </row>
    <row r="6" spans="1:11" x14ac:dyDescent="0.25">
      <c r="A6" s="8" t="s">
        <v>88</v>
      </c>
      <c r="B6" s="8" t="s">
        <v>89</v>
      </c>
      <c r="C6" s="8" t="s">
        <v>90</v>
      </c>
      <c r="D6" s="8" t="s">
        <v>91</v>
      </c>
      <c r="E6" s="8" t="s">
        <v>62</v>
      </c>
      <c r="F6" s="8" t="s">
        <v>92</v>
      </c>
      <c r="G6" s="9" t="s">
        <v>93</v>
      </c>
      <c r="H6" s="8" t="s">
        <v>33</v>
      </c>
      <c r="I6" s="10"/>
      <c r="J6" s="10"/>
      <c r="K6" s="10"/>
    </row>
    <row r="7" spans="1:11" x14ac:dyDescent="0.25">
      <c r="A7" s="8" t="s">
        <v>94</v>
      </c>
      <c r="B7" s="8" t="s">
        <v>95</v>
      </c>
      <c r="C7" s="8" t="s">
        <v>90</v>
      </c>
      <c r="D7" s="8" t="s">
        <v>96</v>
      </c>
      <c r="E7" s="8" t="s">
        <v>62</v>
      </c>
      <c r="F7" s="8" t="s">
        <v>97</v>
      </c>
      <c r="G7" s="11" t="s">
        <v>98</v>
      </c>
      <c r="H7" s="8" t="s">
        <v>99</v>
      </c>
      <c r="I7" s="10"/>
      <c r="J7" s="10"/>
      <c r="K7" s="10"/>
    </row>
    <row r="8" spans="1:11" x14ac:dyDescent="0.25">
      <c r="A8" s="8" t="s">
        <v>100</v>
      </c>
      <c r="B8" s="8" t="s">
        <v>101</v>
      </c>
      <c r="C8" s="8" t="s">
        <v>90</v>
      </c>
      <c r="D8" s="8" t="s">
        <v>102</v>
      </c>
      <c r="E8" s="8" t="s">
        <v>103</v>
      </c>
      <c r="F8" s="8" t="s">
        <v>104</v>
      </c>
      <c r="G8" s="9" t="s">
        <v>93</v>
      </c>
      <c r="H8" s="8" t="s">
        <v>33</v>
      </c>
      <c r="I8" s="10"/>
      <c r="J8" s="10"/>
      <c r="K8" s="10"/>
    </row>
    <row r="9" spans="1:11" x14ac:dyDescent="0.25">
      <c r="A9" s="6" t="s">
        <v>105</v>
      </c>
      <c r="B9" s="7"/>
      <c r="C9" s="7"/>
      <c r="D9" s="7"/>
      <c r="E9" s="7"/>
      <c r="F9" s="7"/>
      <c r="G9" s="7"/>
      <c r="H9" s="7"/>
      <c r="I9" s="7"/>
      <c r="J9" s="7"/>
      <c r="K9" s="7"/>
    </row>
    <row r="10" spans="1:11" x14ac:dyDescent="0.25">
      <c r="A10" s="8" t="s">
        <v>106</v>
      </c>
      <c r="B10" s="8" t="s">
        <v>107</v>
      </c>
      <c r="C10" s="8" t="s">
        <v>108</v>
      </c>
      <c r="D10" s="8" t="s">
        <v>109</v>
      </c>
      <c r="E10" s="8" t="s">
        <v>110</v>
      </c>
      <c r="F10" s="8" t="s">
        <v>111</v>
      </c>
      <c r="G10" s="9" t="s">
        <v>93</v>
      </c>
      <c r="H10" s="8" t="s">
        <v>112</v>
      </c>
      <c r="I10" s="10"/>
      <c r="J10" s="10"/>
      <c r="K10" s="10"/>
    </row>
    <row r="11" spans="1:11" x14ac:dyDescent="0.25">
      <c r="A11" s="8" t="s">
        <v>113</v>
      </c>
      <c r="B11" s="8" t="s">
        <v>114</v>
      </c>
      <c r="C11" s="8" t="s">
        <v>108</v>
      </c>
      <c r="D11" s="8" t="s">
        <v>115</v>
      </c>
      <c r="E11" s="8" t="s">
        <v>116</v>
      </c>
      <c r="F11" s="8" t="s">
        <v>117</v>
      </c>
      <c r="G11" s="9" t="s">
        <v>93</v>
      </c>
      <c r="H11" s="8" t="s">
        <v>33</v>
      </c>
      <c r="I11" s="10"/>
      <c r="J11" s="10"/>
      <c r="K11" s="10"/>
    </row>
    <row r="12" spans="1:11" x14ac:dyDescent="0.25">
      <c r="A12" s="8" t="s">
        <v>118</v>
      </c>
      <c r="B12" s="8" t="s">
        <v>119</v>
      </c>
      <c r="C12" s="8" t="s">
        <v>108</v>
      </c>
      <c r="D12" s="8" t="s">
        <v>120</v>
      </c>
      <c r="E12" s="8" t="s">
        <v>121</v>
      </c>
      <c r="F12" s="8" t="s">
        <v>122</v>
      </c>
      <c r="G12" s="9" t="s">
        <v>93</v>
      </c>
      <c r="H12" s="8" t="s">
        <v>123</v>
      </c>
      <c r="I12" s="10"/>
      <c r="J12" s="10"/>
      <c r="K12" s="10"/>
    </row>
    <row r="13" spans="1:11" x14ac:dyDescent="0.25">
      <c r="A13" s="8" t="s">
        <v>124</v>
      </c>
      <c r="B13" s="8" t="s">
        <v>125</v>
      </c>
      <c r="C13" s="8" t="s">
        <v>108</v>
      </c>
      <c r="D13" s="8" t="s">
        <v>126</v>
      </c>
      <c r="E13" s="8" t="s">
        <v>127</v>
      </c>
      <c r="F13" s="8" t="s">
        <v>128</v>
      </c>
      <c r="G13" s="9" t="s">
        <v>93</v>
      </c>
      <c r="H13" s="8" t="s">
        <v>33</v>
      </c>
      <c r="I13" s="10"/>
      <c r="J13" s="10"/>
      <c r="K13" s="10"/>
    </row>
    <row r="14" spans="1:11" x14ac:dyDescent="0.25">
      <c r="A14" s="8" t="s">
        <v>129</v>
      </c>
      <c r="B14" s="8" t="s">
        <v>130</v>
      </c>
      <c r="C14" s="8" t="s">
        <v>108</v>
      </c>
      <c r="D14" s="8" t="s">
        <v>131</v>
      </c>
      <c r="E14" s="8" t="s">
        <v>132</v>
      </c>
      <c r="F14" s="8" t="s">
        <v>133</v>
      </c>
      <c r="G14" s="12" t="s">
        <v>134</v>
      </c>
      <c r="H14" s="8" t="s">
        <v>135</v>
      </c>
      <c r="I14" s="10"/>
      <c r="J14" s="10"/>
      <c r="K14" s="10"/>
    </row>
    <row r="15" spans="1:11" x14ac:dyDescent="0.25">
      <c r="A15" s="8" t="s">
        <v>136</v>
      </c>
      <c r="B15" s="8" t="s">
        <v>137</v>
      </c>
      <c r="C15" s="8" t="s">
        <v>108</v>
      </c>
      <c r="D15" s="8" t="s">
        <v>138</v>
      </c>
      <c r="E15" s="8" t="s">
        <v>55</v>
      </c>
      <c r="F15" s="8" t="s">
        <v>139</v>
      </c>
      <c r="G15" s="9" t="s">
        <v>93</v>
      </c>
      <c r="H15" s="8" t="s">
        <v>140</v>
      </c>
      <c r="I15" s="10"/>
      <c r="J15" s="10"/>
      <c r="K15" s="10"/>
    </row>
    <row r="16" spans="1:11" x14ac:dyDescent="0.25">
      <c r="A16" s="8" t="s">
        <v>141</v>
      </c>
      <c r="B16" s="8" t="s">
        <v>142</v>
      </c>
      <c r="C16" s="8" t="s">
        <v>108</v>
      </c>
      <c r="D16" s="8" t="s">
        <v>143</v>
      </c>
      <c r="E16" s="8" t="s">
        <v>132</v>
      </c>
      <c r="F16" s="8" t="s">
        <v>133</v>
      </c>
      <c r="G16" s="12" t="s">
        <v>134</v>
      </c>
      <c r="H16" s="8" t="s">
        <v>144</v>
      </c>
      <c r="I16" s="10"/>
      <c r="J16" s="10"/>
      <c r="K16" s="10"/>
    </row>
    <row r="17" spans="1:11" x14ac:dyDescent="0.25">
      <c r="A17" s="6" t="s">
        <v>145</v>
      </c>
      <c r="B17" s="7"/>
      <c r="C17" s="7"/>
      <c r="D17" s="7"/>
      <c r="E17" s="7"/>
      <c r="F17" s="7"/>
      <c r="G17" s="7"/>
      <c r="H17" s="7"/>
      <c r="I17" s="7"/>
      <c r="J17" s="7"/>
      <c r="K17" s="7"/>
    </row>
    <row r="18" spans="1:11" x14ac:dyDescent="0.25">
      <c r="A18" s="8" t="s">
        <v>146</v>
      </c>
      <c r="B18" s="8" t="s">
        <v>147</v>
      </c>
      <c r="C18" s="8" t="s">
        <v>148</v>
      </c>
      <c r="D18" s="8" t="s">
        <v>149</v>
      </c>
      <c r="E18" s="8" t="s">
        <v>150</v>
      </c>
      <c r="F18" s="8" t="s">
        <v>151</v>
      </c>
      <c r="G18" s="11" t="s">
        <v>98</v>
      </c>
      <c r="H18" s="8" t="s">
        <v>152</v>
      </c>
      <c r="I18" s="10"/>
      <c r="J18" s="10"/>
      <c r="K18" s="10"/>
    </row>
    <row r="19" spans="1:11" x14ac:dyDescent="0.25">
      <c r="A19" s="8" t="s">
        <v>153</v>
      </c>
      <c r="B19" s="8" t="s">
        <v>154</v>
      </c>
      <c r="C19" s="8" t="s">
        <v>148</v>
      </c>
      <c r="D19" s="8" t="s">
        <v>155</v>
      </c>
      <c r="E19" s="8" t="s">
        <v>156</v>
      </c>
      <c r="F19" s="8" t="s">
        <v>157</v>
      </c>
      <c r="G19" s="11" t="s">
        <v>98</v>
      </c>
      <c r="H19" s="8" t="s">
        <v>158</v>
      </c>
      <c r="I19" s="10"/>
      <c r="J19" s="10"/>
      <c r="K19" s="10"/>
    </row>
    <row r="20" spans="1:11" x14ac:dyDescent="0.25">
      <c r="A20" s="8" t="s">
        <v>159</v>
      </c>
      <c r="B20" s="8" t="s">
        <v>160</v>
      </c>
      <c r="C20" s="8" t="s">
        <v>148</v>
      </c>
      <c r="D20" s="8" t="s">
        <v>161</v>
      </c>
      <c r="E20" s="8" t="s">
        <v>132</v>
      </c>
      <c r="F20" s="8" t="s">
        <v>133</v>
      </c>
      <c r="G20" s="12" t="s">
        <v>134</v>
      </c>
      <c r="H20" s="8" t="s">
        <v>162</v>
      </c>
      <c r="I20" s="10"/>
      <c r="J20" s="10"/>
      <c r="K20" s="10"/>
    </row>
    <row r="21" spans="1:11" x14ac:dyDescent="0.25">
      <c r="A21" s="8" t="s">
        <v>163</v>
      </c>
      <c r="B21" s="8" t="s">
        <v>164</v>
      </c>
      <c r="C21" s="8" t="s">
        <v>148</v>
      </c>
      <c r="D21" s="8" t="s">
        <v>165</v>
      </c>
      <c r="E21" s="8" t="s">
        <v>166</v>
      </c>
      <c r="F21" s="8" t="s">
        <v>167</v>
      </c>
      <c r="G21" s="9" t="s">
        <v>93</v>
      </c>
      <c r="H21" s="8" t="s">
        <v>168</v>
      </c>
      <c r="I21" s="10"/>
      <c r="J21" s="10"/>
      <c r="K21" s="10"/>
    </row>
    <row r="22" spans="1:11" x14ac:dyDescent="0.25">
      <c r="A22" s="8" t="s">
        <v>169</v>
      </c>
      <c r="B22" s="8" t="s">
        <v>170</v>
      </c>
      <c r="C22" s="8" t="s">
        <v>148</v>
      </c>
      <c r="D22" s="8" t="s">
        <v>171</v>
      </c>
      <c r="E22" s="8" t="s">
        <v>172</v>
      </c>
      <c r="F22" s="8" t="s">
        <v>173</v>
      </c>
      <c r="G22" s="12" t="s">
        <v>134</v>
      </c>
      <c r="H22" s="8" t="s">
        <v>174</v>
      </c>
      <c r="I22" s="10"/>
      <c r="J22" s="10"/>
      <c r="K22" s="10"/>
    </row>
    <row r="23" spans="1:11" x14ac:dyDescent="0.25">
      <c r="A23" s="8" t="s">
        <v>175</v>
      </c>
      <c r="B23" s="8" t="s">
        <v>176</v>
      </c>
      <c r="C23" s="8" t="s">
        <v>148</v>
      </c>
      <c r="D23" s="8" t="s">
        <v>177</v>
      </c>
      <c r="E23" s="8" t="s">
        <v>178</v>
      </c>
      <c r="F23" s="8" t="s">
        <v>179</v>
      </c>
      <c r="G23" s="11" t="s">
        <v>98</v>
      </c>
      <c r="H23" s="8" t="s">
        <v>180</v>
      </c>
      <c r="I23" s="10"/>
      <c r="J23" s="10"/>
      <c r="K23" s="10"/>
    </row>
    <row r="24" spans="1:11" x14ac:dyDescent="0.25">
      <c r="A24" s="8" t="s">
        <v>181</v>
      </c>
      <c r="B24" s="8" t="s">
        <v>182</v>
      </c>
      <c r="C24" s="8" t="s">
        <v>148</v>
      </c>
      <c r="D24" s="8" t="s">
        <v>183</v>
      </c>
      <c r="E24" s="8" t="s">
        <v>184</v>
      </c>
      <c r="F24" s="8" t="s">
        <v>185</v>
      </c>
      <c r="G24" s="9" t="s">
        <v>93</v>
      </c>
      <c r="H24" s="8" t="s">
        <v>186</v>
      </c>
      <c r="I24" s="10"/>
      <c r="J24" s="10"/>
      <c r="K24" s="10"/>
    </row>
    <row r="25" spans="1:11" x14ac:dyDescent="0.25">
      <c r="A25" s="8" t="s">
        <v>187</v>
      </c>
      <c r="B25" s="8" t="s">
        <v>188</v>
      </c>
      <c r="C25" s="8" t="s">
        <v>148</v>
      </c>
      <c r="D25" s="8" t="s">
        <v>189</v>
      </c>
      <c r="E25" s="8" t="s">
        <v>132</v>
      </c>
      <c r="F25" s="8" t="s">
        <v>133</v>
      </c>
      <c r="G25" s="12" t="s">
        <v>134</v>
      </c>
      <c r="H25" s="8" t="s">
        <v>190</v>
      </c>
      <c r="I25" s="10"/>
      <c r="J25" s="10"/>
      <c r="K25" s="10"/>
    </row>
    <row r="26" spans="1:11" x14ac:dyDescent="0.25">
      <c r="A26" s="8" t="s">
        <v>191</v>
      </c>
      <c r="B26" s="8" t="s">
        <v>192</v>
      </c>
      <c r="C26" s="8" t="s">
        <v>148</v>
      </c>
      <c r="D26" s="8" t="s">
        <v>193</v>
      </c>
      <c r="E26" s="8" t="s">
        <v>132</v>
      </c>
      <c r="F26" s="8" t="s">
        <v>133</v>
      </c>
      <c r="G26" s="12" t="s">
        <v>134</v>
      </c>
      <c r="H26" s="8" t="s">
        <v>194</v>
      </c>
      <c r="I26" s="10"/>
      <c r="J26" s="10"/>
      <c r="K26" s="10"/>
    </row>
    <row r="27" spans="1:11" x14ac:dyDescent="0.25">
      <c r="A27" s="8" t="s">
        <v>195</v>
      </c>
      <c r="B27" s="8" t="s">
        <v>196</v>
      </c>
      <c r="C27" s="8" t="s">
        <v>148</v>
      </c>
      <c r="D27" s="8" t="s">
        <v>197</v>
      </c>
      <c r="E27" s="8" t="s">
        <v>198</v>
      </c>
      <c r="F27" s="8" t="s">
        <v>199</v>
      </c>
      <c r="G27" s="9" t="s">
        <v>93</v>
      </c>
      <c r="H27" s="8" t="s">
        <v>200</v>
      </c>
      <c r="I27" s="10"/>
      <c r="J27" s="10"/>
      <c r="K27" s="10"/>
    </row>
    <row r="30" spans="1:1" x14ac:dyDescent="0.25">
      <c r="A30" s="13" t="s">
        <v>201</v>
      </c>
    </row>
    <row r="31" spans="1:1" x14ac:dyDescent="0.25">
      <c r="A31" s="14" t="s">
        <v>202</v>
      </c>
    </row>
    <row r="32" spans="1:1" x14ac:dyDescent="0.25">
      <c r="A32" s="14" t="s">
        <v>203</v>
      </c>
    </row>
    <row r="33" spans="1:1" x14ac:dyDescent="0.25">
      <c r="A33" s="14" t="s">
        <v>204</v>
      </c>
    </row>
    <row r="34" spans="1:1" x14ac:dyDescent="0.25">
      <c r="A34" s="14" t="s">
        <v>205</v>
      </c>
    </row>
    <row r="35" spans="1:1" x14ac:dyDescent="0.25">
      <c r="A35" s="14" t="s">
        <v>206</v>
      </c>
    </row>
    <row r="37" spans="1:2" x14ac:dyDescent="0.25">
      <c r="A37" t="s">
        <v>207</v>
      </c>
      <c r="B37">
        <f>COUNTIF(G5:G27,"Data pure")</f>
        <v>10</v>
      </c>
    </row>
    <row r="38" spans="1:2" x14ac:dyDescent="0.25">
      <c r="A38" t="s">
        <v>208</v>
      </c>
      <c r="B38">
        <f>COUNTIF(G5:G27,"Partiel")</f>
        <v>4</v>
      </c>
    </row>
    <row r="39" spans="1:2" x14ac:dyDescent="0.25">
      <c r="A39" t="s">
        <v>209</v>
      </c>
      <c r="B39">
        <f>COUNTIF(G5:G27,"MOTEUR requis")</f>
        <v>6</v>
      </c>
    </row>
    <row r="40" spans="1:2" x14ac:dyDescent="0.25">
      <c r="A40" s="15" t="s">
        <v>210</v>
      </c>
      <c r="B40" s="15">
        <f>COUNTA(C5:C27)</f>
        <v>20</v>
      </c>
    </row>
  </sheetData>
  <mergeCells count="1"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8"/>
  <sheetViews>
    <sheetView workbookViewId="0">
      <pane xSplit="2" ySplit="4" topLeftCell="C5" activePane="bottomRight" state="frozen"/>
      <selection pane="bottomRight"/>
    </sheetView>
  </sheetViews>
  <sheetFormatPr defaultRowHeight="15" outlineLevelRow="0" outlineLevelCol="0" x14ac:dyDescent="55"/>
  <cols>
    <col min="1" max="1" width="26" customWidth="1"/>
    <col min="2" max="2" width="20" customWidth="1"/>
    <col min="3" max="3" width="58" customWidth="1"/>
    <col min="4" max="4" width="34" customWidth="1"/>
  </cols>
  <sheetData>
    <row r="1" spans="1:1" x14ac:dyDescent="0.25">
      <c r="A1" s="1" t="s">
        <v>211</v>
      </c>
    </row>
    <row r="2" ht="30" customHeight="1" spans="1:8" x14ac:dyDescent="0.25">
      <c r="A2" s="2" t="s">
        <v>212</v>
      </c>
      <c r="B2" s="2"/>
      <c r="C2" s="2"/>
      <c r="D2" s="2"/>
      <c r="E2" s="2"/>
      <c r="F2" s="2"/>
      <c r="G2" s="2"/>
      <c r="H2" s="2"/>
    </row>
    <row r="4" ht="30" customHeight="1" spans="1:4" x14ac:dyDescent="0.25">
      <c r="A4" s="3" t="s">
        <v>213</v>
      </c>
      <c r="B4" s="3" t="s">
        <v>214</v>
      </c>
      <c r="C4" s="3" t="s">
        <v>215</v>
      </c>
      <c r="D4" s="3" t="s">
        <v>216</v>
      </c>
    </row>
    <row r="5" spans="1:4" x14ac:dyDescent="0.25">
      <c r="A5" s="8" t="s">
        <v>217</v>
      </c>
      <c r="B5" s="10" t="s">
        <v>218</v>
      </c>
      <c r="C5" s="8" t="s">
        <v>219</v>
      </c>
      <c r="D5" s="8" t="s">
        <v>220</v>
      </c>
    </row>
    <row r="6" spans="1:4" x14ac:dyDescent="0.25">
      <c r="A6" s="8" t="s">
        <v>221</v>
      </c>
      <c r="B6" s="10" t="s">
        <v>222</v>
      </c>
      <c r="C6" s="8" t="s">
        <v>223</v>
      </c>
      <c r="D6" s="8" t="s">
        <v>224</v>
      </c>
    </row>
    <row r="7" spans="1:4" x14ac:dyDescent="0.25">
      <c r="A7" s="8" t="s">
        <v>225</v>
      </c>
      <c r="B7" s="10" t="s">
        <v>226</v>
      </c>
      <c r="C7" s="8" t="s">
        <v>227</v>
      </c>
      <c r="D7" s="8" t="s">
        <v>228</v>
      </c>
    </row>
    <row r="8" spans="1:4" x14ac:dyDescent="0.25">
      <c r="A8" s="8" t="s">
        <v>229</v>
      </c>
      <c r="B8" s="10" t="s">
        <v>230</v>
      </c>
      <c r="C8" s="8" t="s">
        <v>231</v>
      </c>
      <c r="D8" s="8" t="s">
        <v>232</v>
      </c>
    </row>
    <row r="9" spans="1:4" x14ac:dyDescent="0.25">
      <c r="A9" s="8" t="s">
        <v>233</v>
      </c>
      <c r="B9" s="10" t="s">
        <v>234</v>
      </c>
      <c r="C9" s="8" t="s">
        <v>235</v>
      </c>
      <c r="D9" s="8" t="s">
        <v>33</v>
      </c>
    </row>
    <row r="10" spans="1:4" x14ac:dyDescent="0.25">
      <c r="A10" s="8" t="s">
        <v>236</v>
      </c>
      <c r="B10" s="10" t="s">
        <v>237</v>
      </c>
      <c r="C10" s="8" t="s">
        <v>238</v>
      </c>
      <c r="D10" s="8" t="s">
        <v>239</v>
      </c>
    </row>
    <row r="12" spans="1:1" x14ac:dyDescent="0.25">
      <c r="A12" s="13" t="s">
        <v>240</v>
      </c>
    </row>
    <row r="13" spans="1:4" x14ac:dyDescent="0.25">
      <c r="A13" s="16" t="s">
        <v>241</v>
      </c>
      <c r="B13" s="16" t="s">
        <v>242</v>
      </c>
      <c r="C13" s="16" t="s">
        <v>243</v>
      </c>
      <c r="D13" s="16" t="s">
        <v>244</v>
      </c>
    </row>
    <row r="14" spans="1:4" x14ac:dyDescent="0.25">
      <c r="A14" s="8" t="s">
        <v>245</v>
      </c>
      <c r="B14" s="8" t="s">
        <v>246</v>
      </c>
      <c r="C14" s="10">
        <v>8</v>
      </c>
      <c r="D14" s="8" t="s">
        <v>247</v>
      </c>
    </row>
    <row r="15" spans="1:4" x14ac:dyDescent="0.25">
      <c r="A15" s="8" t="s">
        <v>248</v>
      </c>
      <c r="B15" s="8" t="s">
        <v>249</v>
      </c>
      <c r="C15" s="10">
        <v>25</v>
      </c>
      <c r="D15" s="8" t="s">
        <v>250</v>
      </c>
    </row>
    <row r="16" spans="1:4" x14ac:dyDescent="0.25">
      <c r="A16" s="8" t="s">
        <v>251</v>
      </c>
      <c r="B16" s="8" t="s">
        <v>252</v>
      </c>
      <c r="C16" s="10">
        <v>35</v>
      </c>
      <c r="D16" s="8" t="s">
        <v>253</v>
      </c>
    </row>
    <row r="17" spans="1:4" x14ac:dyDescent="0.25">
      <c r="A17" s="8" t="s">
        <v>254</v>
      </c>
      <c r="B17" s="8" t="s">
        <v>255</v>
      </c>
      <c r="C17" s="10">
        <v>45</v>
      </c>
      <c r="D17" s="8" t="s">
        <v>256</v>
      </c>
    </row>
    <row r="18" spans="1:4" x14ac:dyDescent="0.25">
      <c r="A18" s="8" t="s">
        <v>257</v>
      </c>
      <c r="B18" s="8" t="s">
        <v>258</v>
      </c>
      <c r="C18" s="10">
        <v>60</v>
      </c>
      <c r="D18" s="8" t="s">
        <v>259</v>
      </c>
    </row>
    <row r="19" spans="1:4" x14ac:dyDescent="0.25">
      <c r="A19" s="8" t="s">
        <v>260</v>
      </c>
      <c r="B19" s="8" t="s">
        <v>125</v>
      </c>
      <c r="C19" s="10">
        <v>45</v>
      </c>
      <c r="D19" s="8" t="s">
        <v>261</v>
      </c>
    </row>
    <row r="20" spans="1:4" x14ac:dyDescent="0.25">
      <c r="A20" s="8" t="s">
        <v>262</v>
      </c>
      <c r="B20" s="8" t="s">
        <v>263</v>
      </c>
      <c r="C20" s="10">
        <v>35</v>
      </c>
      <c r="D20" s="8" t="s">
        <v>264</v>
      </c>
    </row>
    <row r="21" spans="1:4" x14ac:dyDescent="0.25">
      <c r="A21" s="8" t="s">
        <v>265</v>
      </c>
      <c r="B21" s="8" t="s">
        <v>266</v>
      </c>
      <c r="C21" s="10">
        <v>70</v>
      </c>
      <c r="D21" s="8" t="s">
        <v>267</v>
      </c>
    </row>
    <row r="22" spans="1:4" x14ac:dyDescent="0.25">
      <c r="A22" s="8" t="s">
        <v>268</v>
      </c>
      <c r="B22" s="8" t="s">
        <v>269</v>
      </c>
      <c r="C22" s="10">
        <v>30</v>
      </c>
      <c r="D22" s="8" t="s">
        <v>270</v>
      </c>
    </row>
    <row r="23" spans="1:4" x14ac:dyDescent="0.25">
      <c r="A23" s="8" t="s">
        <v>271</v>
      </c>
      <c r="B23" s="8" t="s">
        <v>272</v>
      </c>
      <c r="C23" s="10">
        <v>70</v>
      </c>
      <c r="D23" s="8" t="s">
        <v>273</v>
      </c>
    </row>
    <row r="25" spans="1:1" x14ac:dyDescent="0.25">
      <c r="A25" s="14" t="s">
        <v>274</v>
      </c>
    </row>
    <row r="26" spans="1:1" x14ac:dyDescent="0.25">
      <c r="A26" s="14" t="s">
        <v>275</v>
      </c>
    </row>
    <row r="27" spans="1:1" x14ac:dyDescent="0.25">
      <c r="A27" s="14" t="s">
        <v>276</v>
      </c>
    </row>
    <row r="28" spans="1:1" x14ac:dyDescent="0.25">
      <c r="A28" s="14" t="s">
        <v>277</v>
      </c>
    </row>
  </sheetData>
  <mergeCells count="1"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Arc 1 (existant)</vt:lpstr>
      <vt:lpstr>Arc 2 (à définir)</vt:lpstr>
      <vt:lpstr>Équipement divin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Idle RPG Manager</dc:creator>
  <dc:title/>
  <dc:subject/>
  <dc:description/>
  <cp:keywords/>
  <cp:category/>
  <cp:lastModifiedBy>Unknown</cp:lastModifiedBy>
  <dcterms:created xsi:type="dcterms:W3CDTF">2026-07-21T12:02:40Z</dcterms:created>
  <dcterms:modified xsi:type="dcterms:W3CDTF">2026-07-21T12:02:40Z</dcterms:modified>
</cp:coreProperties>
</file>